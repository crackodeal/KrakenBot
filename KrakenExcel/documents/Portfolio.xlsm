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D:\Home\Yuri\Source\Repos\Kraken\KrakenExcel\documents\"/>
    </mc:Choice>
  </mc:AlternateContent>
  <xr:revisionPtr revIDLastSave="0" documentId="13_ncr:1_{1097AD3D-3B1F-47E3-8F31-B8767F5BD234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9"/>
  <definedNames>
    <definedName name="_xlnm._FilterDatabase" localSheetId="3" hidden="1">Trades!$A$1:$H$200</definedName>
    <definedName name="BalancesRange">Balances!$A:$B</definedName>
    <definedName name="BASE">#REF!</definedName>
    <definedName name="BTC">#REF!</definedName>
    <definedName name="BTCBase">Portfolio!$D$21</definedName>
    <definedName name="BTCBaseUSD">Portfolio!$G$8</definedName>
    <definedName name="BTCPrice">Portfolio!$I$8</definedName>
    <definedName name="BTCPriceEUR">Portfolio!$I$9</definedName>
    <definedName name="BuyTarget">Portfolio!$M$8</definedName>
    <definedName name="Commission">Portfolio!#REF!</definedName>
    <definedName name="EURPrice">Portfolio!#REF!</definedName>
    <definedName name="ForexRange">Portfolio!$M$23:$O$25</definedName>
    <definedName name="GBPPrice">Portfolio!$N$23</definedName>
    <definedName name="GBPPriceKraken">Portfolio!#REF!</definedName>
    <definedName name="MarketFee">Portfolio!$K$7</definedName>
    <definedName name="OrdersRange">#REF!</definedName>
    <definedName name="PRC">#REF!</definedName>
    <definedName name="PricesRange">Prices!$A:$D</definedName>
    <definedName name="RUBPrice">Portfolio!$N$24</definedName>
    <definedName name="RUNPrice">Portfolio!#REF!</definedName>
    <definedName name="SellTarget">Portfolio!$N$8</definedName>
    <definedName name="StopLoss">Portfolio!$O$8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Portfolio!$N$25</definedName>
    <definedName name="XBTBasePrice">Portfolio!#REF!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2" i="3" l="1"/>
  <c r="O14" i="3"/>
  <c r="O16" i="3"/>
  <c r="O18" i="3"/>
  <c r="O20" i="3"/>
  <c r="N12" i="3"/>
  <c r="N14" i="3"/>
  <c r="N16" i="3"/>
  <c r="N18" i="3"/>
  <c r="N20" i="3"/>
  <c r="C19" i="3"/>
  <c r="K20" i="3"/>
  <c r="K12" i="3"/>
  <c r="K14" i="3"/>
  <c r="K16" i="3"/>
  <c r="K18" i="3"/>
  <c r="V9" i="3"/>
  <c r="V10" i="3"/>
  <c r="V11" i="3"/>
  <c r="V12" i="3"/>
  <c r="V13" i="3"/>
  <c r="V8" i="3"/>
  <c r="W10" i="3"/>
  <c r="W11" i="3"/>
  <c r="W12" i="3"/>
  <c r="W9" i="3"/>
  <c r="W8" i="3"/>
  <c r="A1" i="7" a="1"/>
  <c r="B4" i="7"/>
  <c r="B10" i="7"/>
  <c r="B17" i="7"/>
  <c r="A14" i="7"/>
  <c r="A8" i="7"/>
  <c r="A28" i="7"/>
  <c r="A18" i="7"/>
  <c r="A20" i="7"/>
  <c r="B20" i="7"/>
  <c r="B26" i="7"/>
  <c r="A25" i="7"/>
  <c r="A4" i="7"/>
  <c r="B29" i="7"/>
  <c r="B11" i="7"/>
  <c r="B6" i="7"/>
  <c r="A6" i="7"/>
  <c r="B8" i="7"/>
  <c r="A27" i="7"/>
  <c r="B15" i="7"/>
  <c r="B18" i="7"/>
  <c r="B22" i="7"/>
  <c r="A26" i="7"/>
  <c r="B25" i="7"/>
  <c r="B28" i="7"/>
  <c r="A12" i="7"/>
  <c r="A11" i="7"/>
  <c r="A19" i="7"/>
  <c r="A10" i="7"/>
  <c r="B12" i="7"/>
  <c r="B7" i="7"/>
  <c r="A15" i="7"/>
  <c r="B23" i="7"/>
  <c r="A29" i="7"/>
  <c r="A1" i="7"/>
  <c r="A16" i="7"/>
  <c r="A5" i="7"/>
  <c r="B9" i="7"/>
  <c r="A13" i="7"/>
  <c r="A21" i="7"/>
  <c r="B30" i="7"/>
  <c r="B1" i="7"/>
  <c r="B27" i="7"/>
  <c r="A22" i="7"/>
  <c r="A17" i="7"/>
  <c r="B24" i="7"/>
  <c r="A7" i="7"/>
  <c r="A9" i="7"/>
  <c r="A30" i="7"/>
  <c r="A24" i="7"/>
  <c r="B16" i="7"/>
  <c r="A3" i="7"/>
  <c r="A23" i="7"/>
  <c r="B2" i="7"/>
  <c r="B19" i="7"/>
  <c r="B5" i="7"/>
  <c r="B14" i="7"/>
  <c r="B13" i="7"/>
  <c r="B21" i="7"/>
  <c r="B3" i="7"/>
  <c r="A2" i="7"/>
  <c r="A1" i="8" a="1"/>
  <c r="K19" i="3" l="1"/>
  <c r="G19" i="3"/>
  <c r="G24" i="3"/>
  <c r="K24" i="3"/>
  <c r="A1" i="11" a="1"/>
  <c r="A2" i="8"/>
  <c r="B7" i="8"/>
  <c r="C12" i="8"/>
  <c r="A18" i="8"/>
  <c r="B23" i="8"/>
  <c r="C28" i="8"/>
  <c r="A34" i="8"/>
  <c r="B39" i="8"/>
  <c r="C44" i="8"/>
  <c r="A50" i="8"/>
  <c r="B55" i="8"/>
  <c r="C60" i="8"/>
  <c r="A66" i="8"/>
  <c r="B71" i="8"/>
  <c r="C76" i="8"/>
  <c r="A82" i="8"/>
  <c r="B87" i="8"/>
  <c r="C92" i="8"/>
  <c r="A98" i="8"/>
  <c r="B2" i="8"/>
  <c r="C7" i="8"/>
  <c r="B1" i="8"/>
  <c r="A12" i="8"/>
  <c r="A19" i="8"/>
  <c r="B26" i="8"/>
  <c r="B33" i="8"/>
  <c r="B40" i="8"/>
  <c r="C47" i="8"/>
  <c r="C54" i="8"/>
  <c r="C61" i="8"/>
  <c r="A69" i="8"/>
  <c r="A76" i="8"/>
  <c r="A83" i="8"/>
  <c r="B90" i="8"/>
  <c r="B97" i="8"/>
  <c r="A7" i="8"/>
  <c r="A16" i="8"/>
  <c r="A23" i="8"/>
  <c r="B30" i="8"/>
  <c r="B37" i="8"/>
  <c r="B44" i="8"/>
  <c r="C51" i="8"/>
  <c r="C58" i="8"/>
  <c r="C65" i="8"/>
  <c r="A73" i="8"/>
  <c r="A80" i="8"/>
  <c r="A87" i="8"/>
  <c r="B94" i="8"/>
  <c r="C2" i="8"/>
  <c r="A13" i="8"/>
  <c r="A20" i="8"/>
  <c r="A27" i="8"/>
  <c r="B34" i="8"/>
  <c r="B41" i="8"/>
  <c r="B48" i="8"/>
  <c r="C55" i="8"/>
  <c r="C62" i="8"/>
  <c r="C69" i="8"/>
  <c r="A77" i="8"/>
  <c r="A84" i="8"/>
  <c r="A91" i="8"/>
  <c r="B98" i="8"/>
  <c r="B8" i="8"/>
  <c r="A17" i="8"/>
  <c r="C34" i="8"/>
  <c r="A63" i="8"/>
  <c r="C91" i="8"/>
  <c r="B36" i="8"/>
  <c r="A65" i="8"/>
  <c r="B93" i="8"/>
  <c r="B38" i="8"/>
  <c r="C66" i="8"/>
  <c r="A95" i="8"/>
  <c r="A47" i="8"/>
  <c r="C75" i="8"/>
  <c r="A60" i="8"/>
  <c r="C35" i="8"/>
  <c r="A64" i="8"/>
  <c r="B92" i="8"/>
  <c r="B18" i="8"/>
  <c r="C39" i="8"/>
  <c r="A61" i="8"/>
  <c r="B82" i="8"/>
  <c r="B96" i="8"/>
  <c r="C27" i="8"/>
  <c r="B29" i="8"/>
  <c r="B86" i="8"/>
  <c r="A88" i="8"/>
  <c r="A97" i="8"/>
  <c r="B3" i="8"/>
  <c r="C8" i="8"/>
  <c r="A14" i="8"/>
  <c r="B19" i="8"/>
  <c r="C24" i="8"/>
  <c r="A30" i="8"/>
  <c r="B35" i="8"/>
  <c r="C40" i="8"/>
  <c r="A46" i="8"/>
  <c r="B51" i="8"/>
  <c r="C56" i="8"/>
  <c r="A62" i="8"/>
  <c r="B67" i="8"/>
  <c r="C72" i="8"/>
  <c r="A78" i="8"/>
  <c r="B83" i="8"/>
  <c r="C88" i="8"/>
  <c r="A94" i="8"/>
  <c r="B99" i="8"/>
  <c r="C3" i="8"/>
  <c r="A9" i="8"/>
  <c r="A4" i="8"/>
  <c r="C13" i="8"/>
  <c r="A21" i="8"/>
  <c r="A28" i="8"/>
  <c r="A35" i="8"/>
  <c r="B42" i="8"/>
  <c r="B49" i="8"/>
  <c r="B56" i="8"/>
  <c r="C63" i="8"/>
  <c r="C70" i="8"/>
  <c r="C77" i="8"/>
  <c r="A85" i="8"/>
  <c r="A92" i="8"/>
  <c r="A99" i="8"/>
  <c r="C9" i="8"/>
  <c r="C17" i="8"/>
  <c r="A25" i="8"/>
  <c r="A32" i="8"/>
  <c r="A39" i="8"/>
  <c r="B46" i="8"/>
  <c r="B53" i="8"/>
  <c r="B60" i="8"/>
  <c r="C67" i="8"/>
  <c r="C74" i="8"/>
  <c r="C81" i="8"/>
  <c r="A89" i="8"/>
  <c r="A96" i="8"/>
  <c r="B5" i="8"/>
  <c r="C14" i="8"/>
  <c r="C21" i="8"/>
  <c r="A29" i="8"/>
  <c r="A36" i="8"/>
  <c r="A43" i="8"/>
  <c r="B50" i="8"/>
  <c r="B57" i="8"/>
  <c r="B64" i="8"/>
  <c r="C71" i="8"/>
  <c r="C78" i="8"/>
  <c r="C85" i="8"/>
  <c r="A93" i="8"/>
  <c r="A100" i="8"/>
  <c r="A11" i="8"/>
  <c r="C18" i="8"/>
  <c r="C41" i="8"/>
  <c r="B70" i="8"/>
  <c r="C98" i="8"/>
  <c r="C43" i="8"/>
  <c r="A72" i="8"/>
  <c r="B100" i="8"/>
  <c r="B45" i="8"/>
  <c r="C73" i="8"/>
  <c r="C25" i="8"/>
  <c r="B54" i="8"/>
  <c r="C82" i="8"/>
  <c r="B17" i="8"/>
  <c r="C31" i="8"/>
  <c r="C45" i="8"/>
  <c r="B74" i="8"/>
  <c r="B88" i="8"/>
  <c r="B4" i="8"/>
  <c r="B21" i="8"/>
  <c r="C42" i="8"/>
  <c r="A57" i="8"/>
  <c r="B78" i="8"/>
  <c r="C99" i="8"/>
  <c r="B25" i="8"/>
  <c r="C46" i="8"/>
  <c r="A68" i="8"/>
  <c r="B89" i="8"/>
  <c r="A15" i="8"/>
  <c r="A56" i="8"/>
  <c r="C57" i="8"/>
  <c r="C59" i="8"/>
  <c r="A40" i="8"/>
  <c r="C4" i="8"/>
  <c r="A10" i="8"/>
  <c r="B15" i="8"/>
  <c r="C20" i="8"/>
  <c r="A26" i="8"/>
  <c r="B31" i="8"/>
  <c r="C36" i="8"/>
  <c r="A42" i="8"/>
  <c r="B47" i="8"/>
  <c r="C52" i="8"/>
  <c r="A58" i="8"/>
  <c r="B63" i="8"/>
  <c r="C68" i="8"/>
  <c r="A74" i="8"/>
  <c r="B79" i="8"/>
  <c r="C84" i="8"/>
  <c r="A90" i="8"/>
  <c r="B95" i="8"/>
  <c r="C100" i="8"/>
  <c r="A5" i="8"/>
  <c r="B10" i="8"/>
  <c r="C6" i="8"/>
  <c r="C15" i="8"/>
  <c r="C22" i="8"/>
  <c r="C29" i="8"/>
  <c r="A37" i="8"/>
  <c r="A44" i="8"/>
  <c r="A51" i="8"/>
  <c r="B58" i="8"/>
  <c r="B65" i="8"/>
  <c r="B72" i="8"/>
  <c r="C79" i="8"/>
  <c r="C86" i="8"/>
  <c r="C93" i="8"/>
  <c r="C1" i="8"/>
  <c r="B12" i="8"/>
  <c r="C19" i="8"/>
  <c r="C26" i="8"/>
  <c r="C33" i="8"/>
  <c r="A41" i="8"/>
  <c r="A48" i="8"/>
  <c r="A55" i="8"/>
  <c r="B62" i="8"/>
  <c r="B69" i="8"/>
  <c r="B76" i="8"/>
  <c r="C83" i="8"/>
  <c r="C90" i="8"/>
  <c r="C97" i="8"/>
  <c r="A8" i="8"/>
  <c r="B16" i="8"/>
  <c r="C23" i="8"/>
  <c r="C30" i="8"/>
  <c r="C37" i="8"/>
  <c r="A45" i="8"/>
  <c r="A52" i="8"/>
  <c r="A59" i="8"/>
  <c r="B66" i="8"/>
  <c r="B73" i="8"/>
  <c r="B80" i="8"/>
  <c r="C87" i="8"/>
  <c r="C94" i="8"/>
  <c r="A3" i="8"/>
  <c r="B13" i="8"/>
  <c r="B20" i="8"/>
  <c r="A49" i="8"/>
  <c r="B77" i="8"/>
  <c r="B22" i="8"/>
  <c r="C50" i="8"/>
  <c r="A79" i="8"/>
  <c r="A24" i="8"/>
  <c r="B52" i="8"/>
  <c r="A81" i="8"/>
  <c r="A33" i="8"/>
  <c r="B61" i="8"/>
  <c r="C89" i="8"/>
  <c r="A6" i="8"/>
  <c r="B11" i="8"/>
  <c r="C16" i="8"/>
  <c r="A22" i="8"/>
  <c r="B27" i="8"/>
  <c r="C32" i="8"/>
  <c r="A38" i="8"/>
  <c r="B43" i="8"/>
  <c r="C48" i="8"/>
  <c r="A54" i="8"/>
  <c r="B59" i="8"/>
  <c r="C64" i="8"/>
  <c r="A70" i="8"/>
  <c r="B75" i="8"/>
  <c r="C80" i="8"/>
  <c r="A86" i="8"/>
  <c r="B91" i="8"/>
  <c r="C96" i="8"/>
  <c r="A1" i="8"/>
  <c r="B6" i="8"/>
  <c r="C11" i="8"/>
  <c r="B9" i="8"/>
  <c r="B24" i="8"/>
  <c r="C38" i="8"/>
  <c r="A53" i="8"/>
  <c r="A67" i="8"/>
  <c r="B81" i="8"/>
  <c r="C95" i="8"/>
  <c r="B14" i="8"/>
  <c r="B28" i="8"/>
  <c r="C49" i="8"/>
  <c r="A71" i="8"/>
  <c r="B85" i="8"/>
  <c r="C10" i="8"/>
  <c r="B32" i="8"/>
  <c r="C53" i="8"/>
  <c r="A75" i="8"/>
  <c r="C5" i="8"/>
  <c r="B84" i="8"/>
  <c r="A31" i="8"/>
  <c r="B68" i="8"/>
  <c r="A2" i="6" a="1"/>
  <c r="N19" i="3" l="1"/>
  <c r="O19" i="3"/>
  <c r="W13" i="3"/>
  <c r="B6" i="11"/>
  <c r="D5" i="11"/>
  <c r="D6" i="11"/>
  <c r="F7" i="11"/>
  <c r="C6" i="11"/>
  <c r="D4" i="11"/>
  <c r="A2" i="11"/>
  <c r="E1" i="11"/>
  <c r="C4" i="11"/>
  <c r="E2" i="11"/>
  <c r="A5" i="11"/>
  <c r="A6" i="11"/>
  <c r="E6" i="11"/>
  <c r="B5" i="11"/>
  <c r="F3" i="11"/>
  <c r="C2" i="11"/>
  <c r="E3" i="11"/>
  <c r="C5" i="11"/>
  <c r="F1" i="11"/>
  <c r="D7" i="11"/>
  <c r="A3" i="11"/>
  <c r="D3" i="11"/>
  <c r="A7" i="11"/>
  <c r="B3" i="11"/>
  <c r="A1" i="11"/>
  <c r="A4" i="11"/>
  <c r="F4" i="11"/>
  <c r="D2" i="11"/>
  <c r="F5" i="11"/>
  <c r="E4" i="11"/>
  <c r="F6" i="11"/>
  <c r="C1" i="11"/>
  <c r="D1" i="11"/>
  <c r="F2" i="11"/>
  <c r="B7" i="11"/>
  <c r="E7" i="11"/>
  <c r="C3" i="11"/>
  <c r="C7" i="11"/>
  <c r="B4" i="11"/>
  <c r="E5" i="11"/>
  <c r="B2" i="11"/>
  <c r="B1" i="11"/>
  <c r="C25" i="3" l="1"/>
  <c r="D25" i="3"/>
  <c r="D28" i="3" s="1"/>
  <c r="I24" i="3"/>
  <c r="F24" i="3" s="1"/>
  <c r="J24" i="3" s="1"/>
  <c r="E24" i="3" l="1"/>
  <c r="I25" i="3" l="1"/>
  <c r="I23" i="3"/>
  <c r="G25" i="3" l="1"/>
  <c r="G26" i="3"/>
  <c r="I26" i="3"/>
  <c r="E26" i="3" s="1"/>
  <c r="G27" i="3"/>
  <c r="I27" i="3"/>
  <c r="E27" i="3" s="1"/>
  <c r="G23" i="3"/>
  <c r="F26" i="3" l="1"/>
  <c r="F27" i="3"/>
  <c r="E3" i="3"/>
  <c r="E2" i="3"/>
  <c r="J30" i="3"/>
  <c r="E4" i="3" l="1"/>
  <c r="J26" i="3"/>
  <c r="K26" i="3" s="1"/>
  <c r="E5" i="3"/>
  <c r="A1" i="3" l="1"/>
  <c r="C17" i="3" l="1"/>
  <c r="K17" i="3" s="1"/>
  <c r="D2" i="3" l="1"/>
  <c r="C9" i="3"/>
  <c r="K9" i="3" l="1"/>
  <c r="F9" i="3"/>
  <c r="O25" i="3"/>
  <c r="O24" i="3"/>
  <c r="O23" i="3"/>
  <c r="D38" i="8" l="1"/>
  <c r="D26" i="8"/>
  <c r="D83" i="8"/>
  <c r="D82" i="8"/>
  <c r="D30" i="8"/>
  <c r="D80" i="8"/>
  <c r="D16" i="8"/>
  <c r="D93" i="8"/>
  <c r="D29" i="8"/>
  <c r="D31" i="8"/>
  <c r="D68" i="8"/>
  <c r="D4" i="8"/>
  <c r="D41" i="8"/>
  <c r="D62" i="8"/>
  <c r="D22" i="8"/>
  <c r="D35" i="8"/>
  <c r="D19" i="8"/>
  <c r="D78" i="8"/>
  <c r="D56" i="8"/>
  <c r="D69" i="8"/>
  <c r="D5" i="8"/>
  <c r="D7" i="8"/>
  <c r="D44" i="8"/>
  <c r="D81" i="8"/>
  <c r="D17" i="8"/>
  <c r="D86" i="8"/>
  <c r="D53" i="8"/>
  <c r="D79" i="8"/>
  <c r="D6" i="8"/>
  <c r="D99" i="8"/>
  <c r="D70" i="8"/>
  <c r="D14" i="8"/>
  <c r="D18" i="8"/>
  <c r="D32" i="8"/>
  <c r="D45" i="8"/>
  <c r="D47" i="8"/>
  <c r="D84" i="8"/>
  <c r="D20" i="8"/>
  <c r="D57" i="8"/>
  <c r="D94" i="8"/>
  <c r="D11" i="8"/>
  <c r="D67" i="8"/>
  <c r="D10" i="8"/>
  <c r="I16" i="3" s="1"/>
  <c r="M16" i="3" s="1"/>
  <c r="D66" i="8"/>
  <c r="D72" i="8"/>
  <c r="D8" i="8"/>
  <c r="D85" i="8"/>
  <c r="D21" i="8"/>
  <c r="D23" i="8"/>
  <c r="D60" i="8"/>
  <c r="D97" i="8"/>
  <c r="D33" i="8"/>
  <c r="D95" i="8"/>
  <c r="D3" i="8"/>
  <c r="D36" i="8"/>
  <c r="D73" i="8"/>
  <c r="D9" i="8"/>
  <c r="D42" i="8"/>
  <c r="D54" i="8"/>
  <c r="D59" i="8"/>
  <c r="D48" i="8"/>
  <c r="D34" i="8"/>
  <c r="D50" i="8"/>
  <c r="D88" i="8"/>
  <c r="D24" i="8"/>
  <c r="D37" i="8"/>
  <c r="D39" i="8"/>
  <c r="D76" i="8"/>
  <c r="D12" i="8"/>
  <c r="D49" i="8"/>
  <c r="D96" i="8"/>
  <c r="D90" i="8"/>
  <c r="D98" i="8"/>
  <c r="D51" i="8"/>
  <c r="D2" i="8"/>
  <c r="I19" i="3" s="1"/>
  <c r="M19" i="3" s="1"/>
  <c r="D61" i="8"/>
  <c r="D63" i="8"/>
  <c r="D100" i="8"/>
  <c r="D87" i="8"/>
  <c r="D71" i="8"/>
  <c r="D27" i="8"/>
  <c r="D58" i="8"/>
  <c r="D91" i="8"/>
  <c r="D43" i="8"/>
  <c r="D75" i="8"/>
  <c r="D46" i="8"/>
  <c r="D64" i="8"/>
  <c r="D77" i="8"/>
  <c r="D13" i="8"/>
  <c r="D15" i="8"/>
  <c r="D52" i="8"/>
  <c r="D89" i="8"/>
  <c r="D25" i="8"/>
  <c r="D74" i="8"/>
  <c r="D40" i="8"/>
  <c r="D55" i="8"/>
  <c r="D92" i="8"/>
  <c r="D28" i="8"/>
  <c r="D65" i="8"/>
  <c r="D1" i="8"/>
  <c r="I20" i="3" s="1"/>
  <c r="M20" i="3" s="1"/>
  <c r="E19" i="3" l="1"/>
  <c r="I18" i="3"/>
  <c r="M18" i="3" s="1"/>
  <c r="I12" i="3"/>
  <c r="M12" i="3" s="1"/>
  <c r="J27" i="3"/>
  <c r="K27" i="3" s="1"/>
  <c r="I14" i="3"/>
  <c r="M14" i="3" s="1"/>
  <c r="I13" i="3"/>
  <c r="I11" i="3"/>
  <c r="I9" i="3"/>
  <c r="E9" i="3" s="1"/>
  <c r="I10" i="3"/>
  <c r="I15" i="3"/>
  <c r="M15" i="3" s="1"/>
  <c r="I17" i="3"/>
  <c r="M17" i="3" s="1"/>
  <c r="I8" i="3"/>
  <c r="G9" i="3" l="1"/>
  <c r="F19" i="3"/>
  <c r="G10" i="3"/>
  <c r="F23" i="3"/>
  <c r="F25" i="3" s="1"/>
  <c r="H7" i="11"/>
  <c r="I7" i="11" s="1"/>
  <c r="H6" i="11"/>
  <c r="I6" i="11" s="1"/>
  <c r="E23" i="3" l="1"/>
  <c r="C15" i="3"/>
  <c r="K15" i="3" s="1"/>
  <c r="J25" i="3" l="1"/>
  <c r="K25" i="3" s="1"/>
  <c r="H1" i="11"/>
  <c r="I1" i="11" s="1"/>
  <c r="H4" i="11"/>
  <c r="I4" i="11" s="1"/>
  <c r="F28" i="3" l="1"/>
  <c r="H3" i="11"/>
  <c r="I3" i="11" s="1"/>
  <c r="M10" i="3"/>
  <c r="C10" i="3" l="1"/>
  <c r="E10" i="3" l="1"/>
  <c r="K10" i="3" s="1"/>
  <c r="M9" i="3" l="1"/>
  <c r="H2" i="11" l="1"/>
  <c r="I2" i="11" s="1"/>
  <c r="C11" i="3"/>
  <c r="K11" i="3" s="1"/>
  <c r="F10" i="3" l="1"/>
  <c r="F17" i="3" l="1"/>
  <c r="E17" i="3"/>
  <c r="G17" i="3"/>
  <c r="F123" i="6"/>
  <c r="D148" i="6"/>
  <c r="G136" i="6"/>
  <c r="C42" i="6"/>
  <c r="E200" i="6"/>
  <c r="C26" i="6"/>
  <c r="D21" i="6"/>
  <c r="C45" i="6"/>
  <c r="D155" i="6"/>
  <c r="A96" i="6"/>
  <c r="C65" i="6"/>
  <c r="A133" i="6"/>
  <c r="A99" i="6"/>
  <c r="F85" i="6"/>
  <c r="B15" i="6"/>
  <c r="F86" i="6"/>
  <c r="E31" i="6"/>
  <c r="A79" i="6"/>
  <c r="A164" i="6"/>
  <c r="B74" i="6"/>
  <c r="F46" i="6"/>
  <c r="C132" i="6"/>
  <c r="D195" i="6"/>
  <c r="D130" i="6"/>
  <c r="E14" i="6"/>
  <c r="E56" i="6"/>
  <c r="E192" i="6"/>
  <c r="F100" i="6"/>
  <c r="D41" i="6"/>
  <c r="F47" i="6"/>
  <c r="D89" i="6"/>
  <c r="C187" i="6"/>
  <c r="C27" i="6"/>
  <c r="A186" i="6"/>
  <c r="B169" i="6"/>
  <c r="A100" i="6"/>
  <c r="E111" i="6"/>
  <c r="D10" i="6"/>
  <c r="F103" i="6"/>
  <c r="C170" i="6"/>
  <c r="F25" i="6"/>
  <c r="E84" i="6"/>
  <c r="B181" i="6"/>
  <c r="E169" i="6"/>
  <c r="G87" i="6"/>
  <c r="F150" i="6"/>
  <c r="C11" i="6"/>
  <c r="B67" i="6"/>
  <c r="G161" i="6"/>
  <c r="C74" i="6"/>
  <c r="B71" i="6"/>
  <c r="G85" i="6"/>
  <c r="F171" i="6"/>
  <c r="F61" i="6"/>
  <c r="A31" i="6"/>
  <c r="B114" i="6"/>
  <c r="C145" i="6"/>
  <c r="E170" i="6"/>
  <c r="C193" i="6"/>
  <c r="B92" i="6"/>
  <c r="B2" i="6"/>
  <c r="C116" i="6"/>
  <c r="B78" i="6"/>
  <c r="A80" i="6"/>
  <c r="E85" i="6"/>
  <c r="D39" i="6"/>
  <c r="A123" i="6"/>
  <c r="F195" i="6"/>
  <c r="D33" i="6"/>
  <c r="D2" i="6"/>
  <c r="G116" i="6"/>
  <c r="E25" i="6"/>
  <c r="D121" i="6"/>
  <c r="G153" i="6"/>
  <c r="C168" i="6"/>
  <c r="C59" i="6"/>
  <c r="G152" i="6"/>
  <c r="G128" i="6"/>
  <c r="B163" i="6"/>
  <c r="F178" i="6"/>
  <c r="G186" i="6"/>
  <c r="G97" i="6"/>
  <c r="A77" i="6"/>
  <c r="E191" i="6"/>
  <c r="G81" i="6"/>
  <c r="D138" i="6"/>
  <c r="B158" i="6"/>
  <c r="E160" i="6"/>
  <c r="E9" i="6"/>
  <c r="C199" i="6"/>
  <c r="C114" i="6"/>
  <c r="D82" i="6"/>
  <c r="F148" i="6"/>
  <c r="G179" i="6"/>
  <c r="D193" i="6"/>
  <c r="E148" i="6"/>
  <c r="G26" i="6"/>
  <c r="A167" i="6"/>
  <c r="G46" i="6"/>
  <c r="C3" i="6"/>
  <c r="D35" i="6"/>
  <c r="B110" i="6"/>
  <c r="E167" i="6"/>
  <c r="E159" i="6"/>
  <c r="C77" i="6"/>
  <c r="B70" i="6"/>
  <c r="G57" i="6"/>
  <c r="F24" i="6"/>
  <c r="B132" i="6"/>
  <c r="B86" i="6"/>
  <c r="A116" i="6"/>
  <c r="E124" i="6"/>
  <c r="D87" i="6"/>
  <c r="A175" i="6"/>
  <c r="D40" i="6"/>
  <c r="G20" i="6"/>
  <c r="G60" i="6"/>
  <c r="A112" i="6"/>
  <c r="C142" i="6"/>
  <c r="F29" i="6"/>
  <c r="B154" i="6"/>
  <c r="F41" i="6"/>
  <c r="B82" i="6"/>
  <c r="E177" i="6"/>
  <c r="G105" i="6"/>
  <c r="C63" i="6"/>
  <c r="F175" i="6"/>
  <c r="F108" i="6"/>
  <c r="B173" i="6"/>
  <c r="A4" i="6"/>
  <c r="E195" i="6"/>
  <c r="F179" i="6"/>
  <c r="D162" i="6"/>
  <c r="F112" i="6"/>
  <c r="D15" i="6"/>
  <c r="C157" i="6"/>
  <c r="B27" i="6"/>
  <c r="B77" i="6"/>
  <c r="C104" i="6"/>
  <c r="C13" i="6"/>
  <c r="A132" i="6"/>
  <c r="G119" i="6"/>
  <c r="B52" i="6"/>
  <c r="A129" i="6"/>
  <c r="G32" i="6"/>
  <c r="G183" i="6"/>
  <c r="D159" i="6"/>
  <c r="F60" i="6"/>
  <c r="G141" i="6"/>
  <c r="B8" i="6"/>
  <c r="F141" i="6"/>
  <c r="E54" i="6"/>
  <c r="B142" i="6"/>
  <c r="G90" i="6"/>
  <c r="G156" i="6"/>
  <c r="D51" i="6"/>
  <c r="F182" i="6"/>
  <c r="F127" i="6"/>
  <c r="A18" i="6"/>
  <c r="G88" i="6"/>
  <c r="G133" i="6"/>
  <c r="E47" i="6"/>
  <c r="A19" i="6"/>
  <c r="D53" i="6"/>
  <c r="G86" i="6"/>
  <c r="D99" i="6"/>
  <c r="G41" i="6"/>
  <c r="A134" i="6"/>
  <c r="C21" i="6"/>
  <c r="B25" i="6"/>
  <c r="C87" i="6"/>
  <c r="D27" i="6"/>
  <c r="F49" i="6"/>
  <c r="D114" i="6"/>
  <c r="B75" i="6"/>
  <c r="B125" i="6"/>
  <c r="C51" i="6"/>
  <c r="F44" i="6"/>
  <c r="A56" i="6"/>
  <c r="E15" i="6"/>
  <c r="A47" i="6"/>
  <c r="G108" i="6"/>
  <c r="F38" i="6"/>
  <c r="E174" i="6"/>
  <c r="C140" i="6"/>
  <c r="B13" i="6"/>
  <c r="G96" i="6"/>
  <c r="G98" i="6"/>
  <c r="E136" i="6"/>
  <c r="C176" i="6"/>
  <c r="E189" i="6"/>
  <c r="C88" i="6"/>
  <c r="A57" i="6"/>
  <c r="F15" i="6"/>
  <c r="B195" i="6"/>
  <c r="C81" i="6"/>
  <c r="G25" i="6"/>
  <c r="G9" i="6"/>
  <c r="B46" i="6"/>
  <c r="C175" i="6"/>
  <c r="G33" i="6"/>
  <c r="D55" i="6"/>
  <c r="G149" i="6"/>
  <c r="D47" i="6"/>
  <c r="C84" i="6"/>
  <c r="A98" i="6"/>
  <c r="C136" i="6"/>
  <c r="E39" i="6"/>
  <c r="E165" i="6"/>
  <c r="D112" i="6"/>
  <c r="A181" i="6"/>
  <c r="C67" i="6"/>
  <c r="G51" i="6"/>
  <c r="G47" i="6"/>
  <c r="A146" i="6"/>
  <c r="G140" i="6"/>
  <c r="C86" i="6"/>
  <c r="E199" i="6"/>
  <c r="E104" i="6"/>
  <c r="D187" i="6"/>
  <c r="F135" i="6"/>
  <c r="F192" i="6"/>
  <c r="C119" i="6"/>
  <c r="D168" i="6"/>
  <c r="F116" i="6"/>
  <c r="E50" i="6"/>
  <c r="C184" i="6"/>
  <c r="A174" i="6"/>
  <c r="E112" i="6"/>
  <c r="F128" i="6"/>
  <c r="D50" i="6"/>
  <c r="B48" i="6"/>
  <c r="B54" i="6"/>
  <c r="D97" i="6"/>
  <c r="G124" i="6"/>
  <c r="E123" i="6"/>
  <c r="G129" i="6"/>
  <c r="G80" i="6"/>
  <c r="F92" i="6"/>
  <c r="E73" i="6"/>
  <c r="F21" i="6"/>
  <c r="D46" i="6"/>
  <c r="C36" i="6"/>
  <c r="G65" i="6"/>
  <c r="D8" i="6"/>
  <c r="D118" i="6"/>
  <c r="B138" i="6"/>
  <c r="D171" i="6"/>
  <c r="D164" i="6"/>
  <c r="G131" i="6"/>
  <c r="F8" i="6"/>
  <c r="D92" i="6"/>
  <c r="C171" i="6"/>
  <c r="E143" i="6"/>
  <c r="E156" i="6"/>
  <c r="B56" i="6"/>
  <c r="G151" i="6"/>
  <c r="C99" i="6"/>
  <c r="F76" i="6"/>
  <c r="B136" i="6"/>
  <c r="D160" i="6"/>
  <c r="D42" i="6"/>
  <c r="G147" i="6"/>
  <c r="G138" i="6"/>
  <c r="E46" i="6"/>
  <c r="E164" i="6"/>
  <c r="A109" i="6"/>
  <c r="B198" i="6"/>
  <c r="A8" i="6"/>
  <c r="F43" i="6"/>
  <c r="E53" i="6"/>
  <c r="F88" i="6"/>
  <c r="A192" i="6"/>
  <c r="C173" i="6"/>
  <c r="G118" i="6"/>
  <c r="C179" i="6"/>
  <c r="B97" i="6"/>
  <c r="G94" i="6"/>
  <c r="D93" i="6"/>
  <c r="F185" i="6"/>
  <c r="B19" i="6"/>
  <c r="A81" i="6"/>
  <c r="F165" i="6"/>
  <c r="E152" i="6"/>
  <c r="E79" i="6"/>
  <c r="D106" i="6"/>
  <c r="G19" i="6"/>
  <c r="D9" i="6"/>
  <c r="D163" i="6"/>
  <c r="F111" i="6"/>
  <c r="A42" i="6"/>
  <c r="A86" i="6"/>
  <c r="A180" i="6"/>
  <c r="D7" i="6"/>
  <c r="F157" i="6"/>
  <c r="B157" i="6"/>
  <c r="E98" i="6"/>
  <c r="F162" i="6"/>
  <c r="B172" i="6"/>
  <c r="G143" i="6"/>
  <c r="D23" i="6"/>
  <c r="G79" i="6"/>
  <c r="F79" i="6"/>
  <c r="D4" i="6"/>
  <c r="D57" i="6"/>
  <c r="F198" i="6"/>
  <c r="G167" i="6"/>
  <c r="F142" i="6"/>
  <c r="F197" i="6"/>
  <c r="C9" i="6"/>
  <c r="C165" i="6"/>
  <c r="C85" i="6"/>
  <c r="G132" i="6"/>
  <c r="A52" i="6"/>
  <c r="B60" i="6"/>
  <c r="E45" i="6"/>
  <c r="F120" i="6"/>
  <c r="G170" i="6"/>
  <c r="C123" i="6"/>
  <c r="F109" i="6"/>
  <c r="B121" i="6"/>
  <c r="F121" i="6"/>
  <c r="C23" i="6"/>
  <c r="C64" i="6"/>
  <c r="F9" i="6"/>
  <c r="B148" i="6"/>
  <c r="D182" i="6"/>
  <c r="D11" i="6"/>
  <c r="A153" i="6"/>
  <c r="C20" i="6"/>
  <c r="A147" i="6"/>
  <c r="A101" i="6"/>
  <c r="F169" i="6"/>
  <c r="A72" i="6"/>
  <c r="F84" i="6"/>
  <c r="F117" i="6"/>
  <c r="F105" i="6"/>
  <c r="C197" i="6"/>
  <c r="A88" i="6"/>
  <c r="D173" i="6"/>
  <c r="F80" i="6"/>
  <c r="A24" i="6"/>
  <c r="E138" i="6"/>
  <c r="C130" i="6"/>
  <c r="D116" i="6"/>
  <c r="E65" i="6"/>
  <c r="G182" i="6"/>
  <c r="A124" i="6"/>
  <c r="C37" i="6"/>
  <c r="F119" i="6"/>
  <c r="D75" i="6"/>
  <c r="A85" i="6"/>
  <c r="A15" i="6"/>
  <c r="E120" i="6"/>
  <c r="A106" i="6"/>
  <c r="A128" i="6"/>
  <c r="A87" i="6"/>
  <c r="B10" i="6"/>
  <c r="C6" i="6"/>
  <c r="A78" i="6"/>
  <c r="G83" i="6"/>
  <c r="C79" i="6"/>
  <c r="G191" i="6"/>
  <c r="B7" i="6"/>
  <c r="A64" i="6"/>
  <c r="C56" i="6"/>
  <c r="C172" i="6"/>
  <c r="A83" i="6"/>
  <c r="F54" i="6"/>
  <c r="G157" i="6"/>
  <c r="C118" i="6"/>
  <c r="E19" i="6"/>
  <c r="F130" i="6"/>
  <c r="D96" i="6"/>
  <c r="C121" i="6"/>
  <c r="A53" i="6"/>
  <c r="B116" i="6"/>
  <c r="F11" i="6"/>
  <c r="F173" i="6"/>
  <c r="C138" i="6"/>
  <c r="A138" i="6"/>
  <c r="A172" i="6"/>
  <c r="A12" i="6"/>
  <c r="E95" i="6"/>
  <c r="D200" i="6"/>
  <c r="G10" i="6"/>
  <c r="F51" i="6"/>
  <c r="A21" i="6"/>
  <c r="A136" i="6"/>
  <c r="E187" i="6"/>
  <c r="G82" i="6"/>
  <c r="G142" i="6"/>
  <c r="A93" i="6"/>
  <c r="A104" i="6"/>
  <c r="D139" i="6"/>
  <c r="C185" i="6"/>
  <c r="A44" i="6"/>
  <c r="F34" i="6"/>
  <c r="B65" i="6"/>
  <c r="F146" i="6"/>
  <c r="D177" i="6"/>
  <c r="A198" i="6"/>
  <c r="C73" i="6"/>
  <c r="F93" i="6"/>
  <c r="F186" i="6"/>
  <c r="F56" i="6"/>
  <c r="F161" i="6"/>
  <c r="G55" i="6"/>
  <c r="B108" i="6"/>
  <c r="B39" i="6"/>
  <c r="E30" i="6"/>
  <c r="A135" i="6"/>
  <c r="G29" i="6"/>
  <c r="G16" i="6"/>
  <c r="A6" i="6"/>
  <c r="F95" i="6"/>
  <c r="C112" i="6"/>
  <c r="F181" i="6"/>
  <c r="A163" i="6"/>
  <c r="A179" i="6"/>
  <c r="F131" i="6"/>
  <c r="D54" i="6"/>
  <c r="D146" i="6"/>
  <c r="F155" i="6"/>
  <c r="C39" i="6"/>
  <c r="B141" i="6"/>
  <c r="A25" i="6"/>
  <c r="F124" i="6"/>
  <c r="D30" i="6"/>
  <c r="A36" i="6"/>
  <c r="C182" i="6"/>
  <c r="F168" i="6"/>
  <c r="E198" i="6"/>
  <c r="C146" i="6"/>
  <c r="E59" i="6"/>
  <c r="E17" i="6"/>
  <c r="E157" i="6"/>
  <c r="A126" i="6"/>
  <c r="B155" i="6"/>
  <c r="B191" i="6"/>
  <c r="D189" i="6"/>
  <c r="B5" i="6"/>
  <c r="D108" i="6"/>
  <c r="C150" i="6"/>
  <c r="G68" i="6"/>
  <c r="E100" i="6"/>
  <c r="D135" i="6"/>
  <c r="A182" i="6"/>
  <c r="C174" i="6"/>
  <c r="E57" i="6"/>
  <c r="E119" i="6"/>
  <c r="E89" i="6"/>
  <c r="E64" i="6"/>
  <c r="A59" i="6"/>
  <c r="C91" i="6"/>
  <c r="B117" i="6"/>
  <c r="G17" i="6"/>
  <c r="A141" i="6"/>
  <c r="C17" i="6"/>
  <c r="E137" i="6"/>
  <c r="F22" i="6"/>
  <c r="G93" i="6"/>
  <c r="F98" i="6"/>
  <c r="B145" i="6"/>
  <c r="F71" i="6"/>
  <c r="C103" i="6"/>
  <c r="F160" i="6"/>
  <c r="E32" i="6"/>
  <c r="F32" i="6"/>
  <c r="D5" i="6"/>
  <c r="A35" i="6"/>
  <c r="G84" i="6"/>
  <c r="G18" i="6"/>
  <c r="F31" i="6"/>
  <c r="B79" i="6"/>
  <c r="B106" i="6"/>
  <c r="E122" i="6"/>
  <c r="F91" i="6"/>
  <c r="B152" i="6"/>
  <c r="A191" i="6"/>
  <c r="A5" i="6"/>
  <c r="A43" i="6"/>
  <c r="A127" i="6"/>
  <c r="B187" i="6"/>
  <c r="A20" i="6"/>
  <c r="C159" i="6"/>
  <c r="A33" i="6"/>
  <c r="D74" i="6"/>
  <c r="G171" i="6"/>
  <c r="G180" i="6"/>
  <c r="C166" i="6"/>
  <c r="F194" i="6"/>
  <c r="C127" i="6"/>
  <c r="E147" i="6"/>
  <c r="A105" i="6"/>
  <c r="E72" i="6"/>
  <c r="F133" i="6"/>
  <c r="A160" i="6"/>
  <c r="E161" i="6"/>
  <c r="D43" i="6"/>
  <c r="E190" i="6"/>
  <c r="D183" i="6"/>
  <c r="G159" i="6"/>
  <c r="A62" i="6"/>
  <c r="A110" i="6"/>
  <c r="C44" i="6"/>
  <c r="F81" i="6"/>
  <c r="E33" i="6"/>
  <c r="D68" i="6"/>
  <c r="A45" i="6"/>
  <c r="A70" i="6"/>
  <c r="D194" i="6"/>
  <c r="B104" i="6"/>
  <c r="C162" i="6"/>
  <c r="E80" i="6"/>
  <c r="F59" i="6"/>
  <c r="A27" i="6"/>
  <c r="G162" i="6"/>
  <c r="E8" i="6"/>
  <c r="G111" i="6"/>
  <c r="F16" i="6"/>
  <c r="B180" i="6"/>
  <c r="D84" i="6"/>
  <c r="D127" i="6"/>
  <c r="D111" i="6"/>
  <c r="C96" i="6"/>
  <c r="B164" i="6"/>
  <c r="A152" i="6"/>
  <c r="A40" i="6"/>
  <c r="D48" i="6"/>
  <c r="G62" i="6"/>
  <c r="B30" i="6"/>
  <c r="C43" i="6"/>
  <c r="G66" i="6"/>
  <c r="F153" i="6"/>
  <c r="D185" i="6"/>
  <c r="E55" i="6"/>
  <c r="B143" i="6"/>
  <c r="C152" i="6"/>
  <c r="D63" i="6"/>
  <c r="D188" i="6"/>
  <c r="E126" i="6"/>
  <c r="B12" i="6"/>
  <c r="B131" i="6"/>
  <c r="B194" i="6"/>
  <c r="A7" i="6"/>
  <c r="E129" i="6"/>
  <c r="E29" i="6"/>
  <c r="B171" i="6"/>
  <c r="E52" i="6"/>
  <c r="F17" i="6"/>
  <c r="A39" i="6"/>
  <c r="D69" i="6"/>
  <c r="F107" i="6"/>
  <c r="C25" i="6"/>
  <c r="C28" i="6"/>
  <c r="G120" i="6"/>
  <c r="A137" i="6"/>
  <c r="B146" i="6"/>
  <c r="C48" i="6"/>
  <c r="C155" i="6"/>
  <c r="E140" i="6"/>
  <c r="G146" i="6"/>
  <c r="F118" i="6"/>
  <c r="D76" i="6"/>
  <c r="D136" i="6"/>
  <c r="E18" i="6"/>
  <c r="A2" i="6"/>
  <c r="C134" i="6"/>
  <c r="G23" i="6"/>
  <c r="B98" i="6"/>
  <c r="E7" i="6"/>
  <c r="D78" i="6"/>
  <c r="A82" i="6"/>
  <c r="D24" i="6"/>
  <c r="F138" i="6"/>
  <c r="G71" i="6"/>
  <c r="E44" i="6"/>
  <c r="D38" i="6"/>
  <c r="D191" i="6"/>
  <c r="B167" i="6"/>
  <c r="A69" i="6"/>
  <c r="B24" i="6"/>
  <c r="G39" i="6"/>
  <c r="E151" i="6"/>
  <c r="G91" i="6"/>
  <c r="B196" i="6"/>
  <c r="A9" i="6"/>
  <c r="E49" i="6"/>
  <c r="B11" i="6"/>
  <c r="G196" i="6"/>
  <c r="G194" i="6"/>
  <c r="G155" i="6"/>
  <c r="D95" i="6"/>
  <c r="E173" i="6"/>
  <c r="C98" i="6"/>
  <c r="G175" i="6"/>
  <c r="G104" i="6"/>
  <c r="G64" i="6"/>
  <c r="E176" i="6"/>
  <c r="F143" i="6"/>
  <c r="B51" i="6"/>
  <c r="D52" i="6"/>
  <c r="C60" i="6"/>
  <c r="B64" i="6"/>
  <c r="D14" i="6"/>
  <c r="D119" i="6"/>
  <c r="C34" i="6"/>
  <c r="D113" i="6"/>
  <c r="D199" i="6"/>
  <c r="A170" i="6"/>
  <c r="E69" i="6"/>
  <c r="G144" i="6"/>
  <c r="A103" i="6"/>
  <c r="B126" i="6"/>
  <c r="F4" i="6"/>
  <c r="A158" i="6"/>
  <c r="G199" i="6"/>
  <c r="G197" i="6"/>
  <c r="D144" i="6"/>
  <c r="A71" i="6"/>
  <c r="A184" i="6"/>
  <c r="D196" i="6"/>
  <c r="A177" i="6"/>
  <c r="B137" i="6"/>
  <c r="B119" i="6"/>
  <c r="F177" i="6"/>
  <c r="D98" i="6"/>
  <c r="F126" i="6"/>
  <c r="F57" i="6"/>
  <c r="E149" i="6"/>
  <c r="G72" i="6"/>
  <c r="E108" i="6"/>
  <c r="A156" i="6"/>
  <c r="C5" i="6"/>
  <c r="A151" i="6"/>
  <c r="E166" i="6"/>
  <c r="B151" i="6"/>
  <c r="F45" i="6"/>
  <c r="C16" i="6"/>
  <c r="C58" i="6"/>
  <c r="F2" i="6"/>
  <c r="C156" i="6"/>
  <c r="C7" i="6"/>
  <c r="B166" i="6"/>
  <c r="E83" i="6"/>
  <c r="E6" i="6"/>
  <c r="E125" i="6"/>
  <c r="A193" i="6"/>
  <c r="B128" i="6"/>
  <c r="A95" i="6"/>
  <c r="C105" i="6"/>
  <c r="B186" i="6"/>
  <c r="A131" i="6"/>
  <c r="D150" i="6"/>
  <c r="A195" i="6"/>
  <c r="A121" i="6"/>
  <c r="E88" i="6"/>
  <c r="C32" i="6"/>
  <c r="F33" i="6"/>
  <c r="G110" i="6"/>
  <c r="G101" i="6"/>
  <c r="G22" i="6"/>
  <c r="G189" i="6"/>
  <c r="A159" i="6"/>
  <c r="F18" i="6"/>
  <c r="E75" i="6"/>
  <c r="G89" i="6"/>
  <c r="C71" i="6"/>
  <c r="E74" i="6"/>
  <c r="F102" i="6"/>
  <c r="C15" i="6"/>
  <c r="B176" i="6"/>
  <c r="D86" i="6"/>
  <c r="C61" i="6"/>
  <c r="A89" i="6"/>
  <c r="E35" i="6"/>
  <c r="E66" i="6"/>
  <c r="G15" i="6"/>
  <c r="F6" i="6"/>
  <c r="B96" i="6"/>
  <c r="G99" i="6"/>
  <c r="B182" i="6"/>
  <c r="A66" i="6"/>
  <c r="E70" i="6"/>
  <c r="F12" i="6"/>
  <c r="F52" i="6"/>
  <c r="C194" i="6"/>
  <c r="B16" i="6"/>
  <c r="E127" i="6"/>
  <c r="E185" i="6"/>
  <c r="G11" i="6"/>
  <c r="D197" i="6"/>
  <c r="B53" i="6"/>
  <c r="D31" i="6"/>
  <c r="B37" i="6"/>
  <c r="G73" i="6"/>
  <c r="D22" i="6"/>
  <c r="D6" i="6"/>
  <c r="B188" i="6"/>
  <c r="G165" i="6"/>
  <c r="E184" i="6"/>
  <c r="E115" i="6"/>
  <c r="G134" i="6"/>
  <c r="A140" i="6"/>
  <c r="F30" i="6"/>
  <c r="E109" i="6"/>
  <c r="C90" i="6"/>
  <c r="G130" i="6"/>
  <c r="G192" i="6"/>
  <c r="C133" i="6"/>
  <c r="E43" i="6"/>
  <c r="E172" i="6"/>
  <c r="G76" i="6"/>
  <c r="B147" i="6"/>
  <c r="C30" i="6"/>
  <c r="E38" i="6"/>
  <c r="B102" i="6"/>
  <c r="D100" i="6"/>
  <c r="B88" i="6"/>
  <c r="E146" i="6"/>
  <c r="D44" i="6"/>
  <c r="C40" i="6"/>
  <c r="A32" i="6"/>
  <c r="B129" i="6"/>
  <c r="A91" i="6"/>
  <c r="G35" i="6"/>
  <c r="G169" i="6"/>
  <c r="G92" i="6"/>
  <c r="G38" i="6"/>
  <c r="F74" i="6"/>
  <c r="A37" i="6"/>
  <c r="A199" i="6"/>
  <c r="G21" i="6"/>
  <c r="A119" i="6"/>
  <c r="G117" i="6"/>
  <c r="F90" i="6"/>
  <c r="G177" i="6"/>
  <c r="F147" i="6"/>
  <c r="B174" i="6"/>
  <c r="C54" i="6"/>
  <c r="E41" i="6"/>
  <c r="C2" i="6"/>
  <c r="G122" i="6"/>
  <c r="F96" i="6"/>
  <c r="A94" i="6"/>
  <c r="B103" i="6"/>
  <c r="A122" i="6"/>
  <c r="B40" i="6"/>
  <c r="G4" i="6"/>
  <c r="D140" i="6"/>
  <c r="F110" i="6"/>
  <c r="A157" i="6"/>
  <c r="E93" i="6"/>
  <c r="E26" i="6"/>
  <c r="B115" i="6"/>
  <c r="F77" i="6"/>
  <c r="B73" i="6"/>
  <c r="D32" i="6"/>
  <c r="G113" i="6"/>
  <c r="G106" i="6"/>
  <c r="A148" i="6"/>
  <c r="B84" i="6"/>
  <c r="E20" i="6"/>
  <c r="B14" i="6"/>
  <c r="F170" i="6"/>
  <c r="E117" i="6"/>
  <c r="G24" i="6"/>
  <c r="C111" i="6"/>
  <c r="A26" i="6"/>
  <c r="F82" i="6"/>
  <c r="C31" i="6"/>
  <c r="D66" i="6"/>
  <c r="D120" i="6"/>
  <c r="E40" i="6"/>
  <c r="G43" i="6"/>
  <c r="B29" i="6"/>
  <c r="A194" i="6"/>
  <c r="F134" i="6"/>
  <c r="B85" i="6"/>
  <c r="G150" i="6"/>
  <c r="B41" i="6"/>
  <c r="B149" i="6"/>
  <c r="G54" i="6"/>
  <c r="F190" i="6"/>
  <c r="D153" i="6"/>
  <c r="F14" i="6"/>
  <c r="C106" i="6"/>
  <c r="D71" i="6"/>
  <c r="F48" i="6"/>
  <c r="C78" i="6"/>
  <c r="A150" i="6"/>
  <c r="E196" i="6"/>
  <c r="C55" i="6"/>
  <c r="C49" i="6"/>
  <c r="C102" i="6"/>
  <c r="C180" i="6"/>
  <c r="D45" i="6"/>
  <c r="G181" i="6"/>
  <c r="A10" i="6"/>
  <c r="E155" i="6"/>
  <c r="E188" i="6"/>
  <c r="F180" i="6"/>
  <c r="D88" i="6"/>
  <c r="A166" i="6"/>
  <c r="B99" i="6"/>
  <c r="E51" i="6"/>
  <c r="D58" i="6"/>
  <c r="B69" i="6"/>
  <c r="D94" i="6"/>
  <c r="E163" i="6"/>
  <c r="A113" i="6"/>
  <c r="B36" i="6"/>
  <c r="F53" i="6"/>
  <c r="B4" i="6"/>
  <c r="G37" i="6"/>
  <c r="A145" i="6"/>
  <c r="A173" i="6"/>
  <c r="F28" i="6"/>
  <c r="G45" i="6"/>
  <c r="B38" i="6"/>
  <c r="F69" i="6"/>
  <c r="D90" i="6"/>
  <c r="C76" i="6"/>
  <c r="A61" i="6"/>
  <c r="C122" i="6"/>
  <c r="C129" i="6"/>
  <c r="D167" i="6"/>
  <c r="B55" i="6"/>
  <c r="A51" i="6"/>
  <c r="G44" i="6"/>
  <c r="E179" i="6"/>
  <c r="B31" i="6"/>
  <c r="E5" i="6"/>
  <c r="C124" i="6"/>
  <c r="C109" i="6"/>
  <c r="A169" i="6"/>
  <c r="G67" i="6"/>
  <c r="F106" i="6"/>
  <c r="B20" i="6"/>
  <c r="B81" i="6"/>
  <c r="B139" i="6"/>
  <c r="B91" i="6"/>
  <c r="G52" i="6"/>
  <c r="F104" i="6"/>
  <c r="B135" i="6"/>
  <c r="G164" i="6"/>
  <c r="F5" i="6"/>
  <c r="D179" i="6"/>
  <c r="B63" i="6"/>
  <c r="D180" i="6"/>
  <c r="C69" i="6"/>
  <c r="B134" i="6"/>
  <c r="C4" i="6"/>
  <c r="G34" i="6"/>
  <c r="B170" i="6"/>
  <c r="F166" i="6"/>
  <c r="D117" i="6"/>
  <c r="E139" i="6"/>
  <c r="C82" i="6"/>
  <c r="D181" i="6"/>
  <c r="F23" i="6"/>
  <c r="C66" i="6"/>
  <c r="E71" i="6"/>
  <c r="A11" i="6"/>
  <c r="B124" i="6"/>
  <c r="E27" i="6"/>
  <c r="C35" i="6"/>
  <c r="B192" i="6"/>
  <c r="A14" i="6"/>
  <c r="D190" i="6"/>
  <c r="E87" i="6"/>
  <c r="A161" i="6"/>
  <c r="E36" i="6"/>
  <c r="C68" i="6"/>
  <c r="D176" i="6"/>
  <c r="E16" i="6"/>
  <c r="C192" i="6"/>
  <c r="A130" i="6"/>
  <c r="A50" i="6"/>
  <c r="D26" i="6"/>
  <c r="B76" i="6"/>
  <c r="C148" i="6"/>
  <c r="F139" i="6"/>
  <c r="E90" i="6"/>
  <c r="A190" i="6"/>
  <c r="G173" i="6"/>
  <c r="C83" i="6"/>
  <c r="F174" i="6"/>
  <c r="A46" i="6"/>
  <c r="A22" i="6"/>
  <c r="E121" i="6"/>
  <c r="E118" i="6"/>
  <c r="C126" i="6"/>
  <c r="E63" i="6"/>
  <c r="D174" i="6"/>
  <c r="C189" i="6"/>
  <c r="F176" i="6"/>
  <c r="F20" i="6"/>
  <c r="A54" i="6"/>
  <c r="B89" i="6"/>
  <c r="D77" i="6"/>
  <c r="C24" i="6"/>
  <c r="G109" i="6"/>
  <c r="C144" i="6"/>
  <c r="G13" i="6"/>
  <c r="A149" i="6"/>
  <c r="B35" i="6"/>
  <c r="A58" i="6"/>
  <c r="A3" i="6"/>
  <c r="B107" i="6"/>
  <c r="F137" i="6"/>
  <c r="D132" i="6"/>
  <c r="C46" i="6"/>
  <c r="F193" i="6"/>
  <c r="F136" i="6"/>
  <c r="B59" i="6"/>
  <c r="D107" i="6"/>
  <c r="E78" i="6"/>
  <c r="D105" i="6"/>
  <c r="C135" i="6"/>
  <c r="C93" i="6"/>
  <c r="D186" i="6"/>
  <c r="A168" i="6"/>
  <c r="A162" i="6"/>
  <c r="E58" i="6"/>
  <c r="E67" i="6"/>
  <c r="B199" i="6"/>
  <c r="A63" i="6"/>
  <c r="D37" i="6"/>
  <c r="F191" i="6"/>
  <c r="F37" i="6"/>
  <c r="C128" i="6"/>
  <c r="D184" i="6"/>
  <c r="D70" i="6"/>
  <c r="A120" i="6"/>
  <c r="E186" i="6"/>
  <c r="F158" i="6"/>
  <c r="D49" i="6"/>
  <c r="B95" i="6"/>
  <c r="F50" i="6"/>
  <c r="B112" i="6"/>
  <c r="D170" i="6"/>
  <c r="B150" i="6"/>
  <c r="B185" i="6"/>
  <c r="A41" i="6"/>
  <c r="F64" i="6"/>
  <c r="B156" i="6"/>
  <c r="G190" i="6"/>
  <c r="A189" i="6"/>
  <c r="C53" i="6"/>
  <c r="A28" i="6"/>
  <c r="B87" i="6"/>
  <c r="G193" i="6"/>
  <c r="E21" i="6"/>
  <c r="E107" i="6"/>
  <c r="B105" i="6"/>
  <c r="E142" i="6"/>
  <c r="G148" i="6"/>
  <c r="A187" i="6"/>
  <c r="A107" i="6"/>
  <c r="C72" i="6"/>
  <c r="D134" i="6"/>
  <c r="C143" i="6"/>
  <c r="G58" i="6"/>
  <c r="F140" i="6"/>
  <c r="E113" i="6"/>
  <c r="C169" i="6"/>
  <c r="C188" i="6"/>
  <c r="B18" i="6"/>
  <c r="F129" i="6"/>
  <c r="E110" i="6"/>
  <c r="D124" i="6"/>
  <c r="B72" i="6"/>
  <c r="D198" i="6"/>
  <c r="F67" i="6"/>
  <c r="D161" i="6"/>
  <c r="G31" i="6"/>
  <c r="C153" i="6"/>
  <c r="E134" i="6"/>
  <c r="C191" i="6"/>
  <c r="D128" i="6"/>
  <c r="C164" i="6"/>
  <c r="E28" i="6"/>
  <c r="A154" i="6"/>
  <c r="E24" i="6"/>
  <c r="G174" i="6"/>
  <c r="A73" i="6"/>
  <c r="G78" i="6"/>
  <c r="G7" i="6"/>
  <c r="D129" i="6"/>
  <c r="E116" i="6"/>
  <c r="E178" i="6"/>
  <c r="C62" i="6"/>
  <c r="G187" i="6"/>
  <c r="C195" i="6"/>
  <c r="C89" i="6"/>
  <c r="B184" i="6"/>
  <c r="D126" i="6"/>
  <c r="E168" i="6"/>
  <c r="C198" i="6"/>
  <c r="D137" i="6"/>
  <c r="C200" i="6"/>
  <c r="F62" i="6"/>
  <c r="F55" i="6"/>
  <c r="E135" i="6"/>
  <c r="C95" i="6"/>
  <c r="E193" i="6"/>
  <c r="G61" i="6"/>
  <c r="A115" i="6"/>
  <c r="B32" i="6"/>
  <c r="G70" i="6"/>
  <c r="B93" i="6"/>
  <c r="D157" i="6"/>
  <c r="D151" i="6"/>
  <c r="D133" i="6"/>
  <c r="C139" i="6"/>
  <c r="F122" i="6"/>
  <c r="G107" i="6"/>
  <c r="C110" i="6"/>
  <c r="E34" i="6"/>
  <c r="D72" i="6"/>
  <c r="G184" i="6"/>
  <c r="E22" i="6"/>
  <c r="A185" i="6"/>
  <c r="B111" i="6"/>
  <c r="C183" i="6"/>
  <c r="D61" i="6"/>
  <c r="A17" i="6"/>
  <c r="D158" i="6"/>
  <c r="E153" i="6"/>
  <c r="E181" i="6"/>
  <c r="G3" i="6"/>
  <c r="F39" i="6"/>
  <c r="C186" i="6"/>
  <c r="E4" i="6"/>
  <c r="D125" i="6"/>
  <c r="G125" i="6"/>
  <c r="D110" i="6"/>
  <c r="C94" i="6"/>
  <c r="B44" i="6"/>
  <c r="D142" i="6"/>
  <c r="F200" i="6"/>
  <c r="C33" i="6"/>
  <c r="F68" i="6"/>
  <c r="C14" i="6"/>
  <c r="B168" i="6"/>
  <c r="B9" i="6"/>
  <c r="C75" i="6"/>
  <c r="G63" i="6"/>
  <c r="B153" i="6"/>
  <c r="F63" i="6"/>
  <c r="F65" i="6"/>
  <c r="D91" i="6"/>
  <c r="F154" i="6"/>
  <c r="D60" i="6"/>
  <c r="A142" i="6"/>
  <c r="F70" i="6"/>
  <c r="C158" i="6"/>
  <c r="D64" i="6"/>
  <c r="A188" i="6"/>
  <c r="D166" i="6"/>
  <c r="G135" i="6"/>
  <c r="G77" i="6"/>
  <c r="D28" i="6"/>
  <c r="F13" i="6"/>
  <c r="A29" i="6"/>
  <c r="E158" i="6"/>
  <c r="D169" i="6"/>
  <c r="B193" i="6"/>
  <c r="C137" i="6"/>
  <c r="F66" i="6"/>
  <c r="F164" i="6"/>
  <c r="G198" i="6"/>
  <c r="B49" i="6"/>
  <c r="E101" i="6"/>
  <c r="B3" i="6"/>
  <c r="F35" i="6"/>
  <c r="G75" i="6"/>
  <c r="D122" i="6"/>
  <c r="F149" i="6"/>
  <c r="G145" i="6"/>
  <c r="B62" i="6"/>
  <c r="F152" i="6"/>
  <c r="E60" i="6"/>
  <c r="A196" i="6"/>
  <c r="E154" i="6"/>
  <c r="B160" i="6"/>
  <c r="F163" i="6"/>
  <c r="B133" i="6"/>
  <c r="A144" i="6"/>
  <c r="C163" i="6"/>
  <c r="G12" i="6"/>
  <c r="E12" i="6"/>
  <c r="B101" i="6"/>
  <c r="G137" i="6"/>
  <c r="C167" i="6"/>
  <c r="D62" i="6"/>
  <c r="G160" i="6"/>
  <c r="D145" i="6"/>
  <c r="E13" i="6"/>
  <c r="D34" i="6"/>
  <c r="C52" i="6"/>
  <c r="E76" i="6"/>
  <c r="G103" i="6"/>
  <c r="B162" i="6"/>
  <c r="D192" i="6"/>
  <c r="F196" i="6"/>
  <c r="A68" i="6"/>
  <c r="C57" i="6"/>
  <c r="F99" i="6"/>
  <c r="D104" i="6"/>
  <c r="B68" i="6"/>
  <c r="B83" i="6"/>
  <c r="D12" i="6"/>
  <c r="F187" i="6"/>
  <c r="E82" i="6"/>
  <c r="B118" i="6"/>
  <c r="C131" i="6"/>
  <c r="A13" i="6"/>
  <c r="F27" i="6"/>
  <c r="E94" i="6"/>
  <c r="E37" i="6"/>
  <c r="D115" i="6"/>
  <c r="D16" i="6"/>
  <c r="G14" i="6"/>
  <c r="G74" i="6"/>
  <c r="G8" i="6"/>
  <c r="A143" i="6"/>
  <c r="D175" i="6"/>
  <c r="G100" i="6"/>
  <c r="E102" i="6"/>
  <c r="E131" i="6"/>
  <c r="B159" i="6"/>
  <c r="A108" i="6"/>
  <c r="B58" i="6"/>
  <c r="D83" i="6"/>
  <c r="F58" i="6"/>
  <c r="B200" i="6"/>
  <c r="C147" i="6"/>
  <c r="B123" i="6"/>
  <c r="B45" i="6"/>
  <c r="D131" i="6"/>
  <c r="B120" i="6"/>
  <c r="D25" i="6"/>
  <c r="F40" i="6"/>
  <c r="C70" i="6"/>
  <c r="A155" i="6"/>
  <c r="E194" i="6"/>
  <c r="E61" i="6"/>
  <c r="D123" i="6"/>
  <c r="B190" i="6"/>
  <c r="E106" i="6"/>
  <c r="G127" i="6"/>
  <c r="B26" i="6"/>
  <c r="G121" i="6"/>
  <c r="F184" i="6"/>
  <c r="G126" i="6"/>
  <c r="G185" i="6"/>
  <c r="E68" i="6"/>
  <c r="D141" i="6"/>
  <c r="D29" i="6"/>
  <c r="E144" i="6"/>
  <c r="C38" i="6"/>
  <c r="G114" i="6"/>
  <c r="E97" i="6"/>
  <c r="A74" i="6"/>
  <c r="A176" i="6"/>
  <c r="G36" i="6"/>
  <c r="F83" i="6"/>
  <c r="C154" i="6"/>
  <c r="E182" i="6"/>
  <c r="F159" i="6"/>
  <c r="E77" i="6"/>
  <c r="G2" i="6"/>
  <c r="C100" i="6"/>
  <c r="G172" i="6"/>
  <c r="D17" i="6"/>
  <c r="B183" i="6"/>
  <c r="C80" i="6"/>
  <c r="F94" i="6"/>
  <c r="A76" i="6"/>
  <c r="C92" i="6"/>
  <c r="E11" i="6"/>
  <c r="B17" i="6"/>
  <c r="G163" i="6"/>
  <c r="E180" i="6"/>
  <c r="C101" i="6"/>
  <c r="A102" i="6"/>
  <c r="D149" i="6"/>
  <c r="D103" i="6"/>
  <c r="G30" i="6"/>
  <c r="B43" i="6"/>
  <c r="G123" i="6"/>
  <c r="E132" i="6"/>
  <c r="B178" i="6"/>
  <c r="E10" i="6"/>
  <c r="E48" i="6"/>
  <c r="F3" i="6"/>
  <c r="C125" i="6"/>
  <c r="G176" i="6"/>
  <c r="B34" i="6"/>
  <c r="G50" i="6"/>
  <c r="E197" i="6"/>
  <c r="B6" i="6"/>
  <c r="F172" i="6"/>
  <c r="D67" i="6"/>
  <c r="A139" i="6"/>
  <c r="G200" i="6"/>
  <c r="G178" i="6"/>
  <c r="B57" i="6"/>
  <c r="D109" i="6"/>
  <c r="E183" i="6"/>
  <c r="F183" i="6"/>
  <c r="A23" i="6"/>
  <c r="D80" i="6"/>
  <c r="C12" i="6"/>
  <c r="C115" i="6"/>
  <c r="G42" i="6"/>
  <c r="G27" i="6"/>
  <c r="E114" i="6"/>
  <c r="A55" i="6"/>
  <c r="F10" i="6"/>
  <c r="A84" i="6"/>
  <c r="B130" i="6"/>
  <c r="F167" i="6"/>
  <c r="E175" i="6"/>
  <c r="D79" i="6"/>
  <c r="B47" i="6"/>
  <c r="C190" i="6"/>
  <c r="E145" i="6"/>
  <c r="A60" i="6"/>
  <c r="E3" i="6"/>
  <c r="A67" i="6"/>
  <c r="C108" i="6"/>
  <c r="A75" i="6"/>
  <c r="G40" i="6"/>
  <c r="F156" i="6"/>
  <c r="D73" i="6"/>
  <c r="A125" i="6"/>
  <c r="F151" i="6"/>
  <c r="F125" i="6"/>
  <c r="B28" i="6"/>
  <c r="E81" i="6"/>
  <c r="A90" i="6"/>
  <c r="C10" i="6"/>
  <c r="D3" i="6"/>
  <c r="D152" i="6"/>
  <c r="D147" i="6"/>
  <c r="F113" i="6"/>
  <c r="B140" i="6"/>
  <c r="G158" i="6"/>
  <c r="E62" i="6"/>
  <c r="F144" i="6"/>
  <c r="C97" i="6"/>
  <c r="B179" i="6"/>
  <c r="B161" i="6"/>
  <c r="C113" i="6"/>
  <c r="G102" i="6"/>
  <c r="F145" i="6"/>
  <c r="G28" i="6"/>
  <c r="D102" i="6"/>
  <c r="E162" i="6"/>
  <c r="G154" i="6"/>
  <c r="B165" i="6"/>
  <c r="E171" i="6"/>
  <c r="F114" i="6"/>
  <c r="C29" i="6"/>
  <c r="D81" i="6"/>
  <c r="E92" i="6"/>
  <c r="C22" i="6"/>
  <c r="G69" i="6"/>
  <c r="G49" i="6"/>
  <c r="C47" i="6"/>
  <c r="E2" i="6"/>
  <c r="A65" i="6"/>
  <c r="D85" i="6"/>
  <c r="G6" i="6"/>
  <c r="F42" i="6"/>
  <c r="D101" i="6"/>
  <c r="B90" i="6"/>
  <c r="C18" i="6"/>
  <c r="D36" i="6"/>
  <c r="G168" i="6"/>
  <c r="B21" i="6"/>
  <c r="C178" i="6"/>
  <c r="A111" i="6"/>
  <c r="F19" i="6"/>
  <c r="C141" i="6"/>
  <c r="A197" i="6"/>
  <c r="G166" i="6"/>
  <c r="A48" i="6"/>
  <c r="F101" i="6"/>
  <c r="D13" i="6"/>
  <c r="B109" i="6"/>
  <c r="G139" i="6"/>
  <c r="C149" i="6"/>
  <c r="E42" i="6"/>
  <c r="G115" i="6"/>
  <c r="G112" i="6"/>
  <c r="A178" i="6"/>
  <c r="F115" i="6"/>
  <c r="D156" i="6"/>
  <c r="C8" i="6"/>
  <c r="A183" i="6"/>
  <c r="B33" i="6"/>
  <c r="G53" i="6"/>
  <c r="B189" i="6"/>
  <c r="B197" i="6"/>
  <c r="E23" i="6"/>
  <c r="A49" i="6"/>
  <c r="C19" i="6"/>
  <c r="E130" i="6"/>
  <c r="E91" i="6"/>
  <c r="B127" i="6"/>
  <c r="F89" i="6"/>
  <c r="C196" i="6"/>
  <c r="C120" i="6"/>
  <c r="C161" i="6"/>
  <c r="E99" i="6"/>
  <c r="B144" i="6"/>
  <c r="A165" i="6"/>
  <c r="F97" i="6"/>
  <c r="G48" i="6"/>
  <c r="D154" i="6"/>
  <c r="A16" i="6"/>
  <c r="E86" i="6"/>
  <c r="E133" i="6"/>
  <c r="D172" i="6"/>
  <c r="B113" i="6"/>
  <c r="B80" i="6"/>
  <c r="C160" i="6"/>
  <c r="C151" i="6"/>
  <c r="A117" i="6"/>
  <c r="C117" i="6"/>
  <c r="D178" i="6"/>
  <c r="A114" i="6"/>
  <c r="F132" i="6"/>
  <c r="B61" i="6"/>
  <c r="D18" i="6"/>
  <c r="G59" i="6"/>
  <c r="F73" i="6"/>
  <c r="A118" i="6"/>
  <c r="E128" i="6"/>
  <c r="D19" i="6"/>
  <c r="A34" i="6"/>
  <c r="C41" i="6"/>
  <c r="E150" i="6"/>
  <c r="C181" i="6"/>
  <c r="B175" i="6"/>
  <c r="F75" i="6"/>
  <c r="D59" i="6"/>
  <c r="F87" i="6"/>
  <c r="F7" i="6"/>
  <c r="B66" i="6"/>
  <c r="F26" i="6"/>
  <c r="C107" i="6"/>
  <c r="A92" i="6"/>
  <c r="B42" i="6"/>
  <c r="G56" i="6"/>
  <c r="G5" i="6"/>
  <c r="D143" i="6"/>
  <c r="E141" i="6"/>
  <c r="A38" i="6"/>
  <c r="B22" i="6"/>
  <c r="B94" i="6"/>
  <c r="F36" i="6"/>
  <c r="D56" i="6"/>
  <c r="G95" i="6"/>
  <c r="F78" i="6"/>
  <c r="G188" i="6"/>
  <c r="F199" i="6"/>
  <c r="D165" i="6"/>
  <c r="G195" i="6"/>
  <c r="F189" i="6"/>
  <c r="F72" i="6"/>
  <c r="C50" i="6"/>
  <c r="B177" i="6"/>
  <c r="B100" i="6"/>
  <c r="A97" i="6"/>
  <c r="A30" i="6"/>
  <c r="A200" i="6"/>
  <c r="E105" i="6"/>
  <c r="D20" i="6"/>
  <c r="B50" i="6"/>
  <c r="F188" i="6"/>
  <c r="C177" i="6"/>
  <c r="B122" i="6"/>
  <c r="E96" i="6"/>
  <c r="B23" i="6"/>
  <c r="A171" i="6"/>
  <c r="E103" i="6"/>
  <c r="D65" i="6"/>
  <c r="N17" i="3" l="1"/>
  <c r="O17" i="3"/>
  <c r="M13" i="3"/>
  <c r="M11" i="3"/>
  <c r="D3" i="3" l="1"/>
  <c r="J28" i="3"/>
  <c r="K28" i="3" s="1"/>
  <c r="H5" i="11"/>
  <c r="I5" i="11" s="1"/>
  <c r="F11" i="3"/>
  <c r="F15" i="3"/>
  <c r="E11" i="3"/>
  <c r="E15" i="3"/>
  <c r="C8" i="3"/>
  <c r="C13" i="3"/>
  <c r="K13" i="3" s="1"/>
  <c r="D8" i="3" l="1"/>
  <c r="K8" i="3"/>
  <c r="D5" i="3"/>
  <c r="D4" i="3"/>
  <c r="G13" i="3"/>
  <c r="F13" i="3"/>
  <c r="E8" i="3"/>
  <c r="E13" i="3"/>
  <c r="G11" i="3"/>
  <c r="N11" i="3" s="1"/>
  <c r="G15" i="3"/>
  <c r="N15" i="3" l="1"/>
  <c r="O15" i="3"/>
  <c r="N13" i="3"/>
  <c r="O13" i="3"/>
  <c r="F8" i="3"/>
  <c r="F21" i="3" s="1"/>
  <c r="C3" i="3" s="1"/>
  <c r="B3" i="3"/>
  <c r="D21" i="3"/>
  <c r="O11" i="3"/>
  <c r="E21" i="3"/>
  <c r="J19" i="3" l="1"/>
  <c r="J20" i="3"/>
  <c r="J9" i="3"/>
  <c r="J13" i="3"/>
  <c r="J17" i="3"/>
  <c r="J12" i="3"/>
  <c r="J10" i="3"/>
  <c r="J14" i="3"/>
  <c r="J18" i="3"/>
  <c r="J16" i="3"/>
  <c r="J11" i="3"/>
  <c r="J15" i="3"/>
  <c r="J8" i="3"/>
  <c r="B5" i="3"/>
  <c r="B4" i="3"/>
  <c r="F3" i="3" l="1"/>
  <c r="C4" i="3"/>
  <c r="J21" i="3"/>
  <c r="K21" i="3" s="1"/>
  <c r="C5" i="3"/>
  <c r="U14" i="3" l="1"/>
  <c r="U15" i="3"/>
  <c r="O10" i="3"/>
  <c r="N10" i="3"/>
  <c r="N9" i="3"/>
  <c r="O9" i="3"/>
  <c r="J23" i="3" l="1"/>
  <c r="K23" i="3" s="1"/>
  <c r="F2" i="3" l="1"/>
  <c r="T15" i="3" s="1"/>
  <c r="F5" i="3"/>
  <c r="W15" i="3" l="1"/>
  <c r="V15" i="3"/>
  <c r="F4" i="3"/>
  <c r="T14" i="3"/>
  <c r="H121" i="6"/>
  <c r="I121" i="6" s="1"/>
  <c r="H62" i="6"/>
  <c r="I62" i="6" s="1"/>
  <c r="H83" i="6"/>
  <c r="I83" i="6" s="1"/>
  <c r="H67" i="6"/>
  <c r="I67" i="6" s="1"/>
  <c r="H17" i="6"/>
  <c r="I17" i="6" s="1"/>
  <c r="H118" i="6"/>
  <c r="I118" i="6" s="1"/>
  <c r="H147" i="6"/>
  <c r="I147" i="6" s="1"/>
  <c r="H145" i="6"/>
  <c r="I145" i="6" s="1"/>
  <c r="H169" i="6"/>
  <c r="I169" i="6" s="1"/>
  <c r="H43" i="6"/>
  <c r="I43" i="6" s="1"/>
  <c r="H167" i="6"/>
  <c r="I167" i="6" s="1"/>
  <c r="H85" i="6"/>
  <c r="I85" i="6" s="1"/>
  <c r="H155" i="6"/>
  <c r="I155" i="6" s="1"/>
  <c r="H96" i="6"/>
  <c r="I96" i="6" s="1"/>
  <c r="H101" i="6"/>
  <c r="I101" i="6" s="1"/>
  <c r="H198" i="6"/>
  <c r="I198" i="6" s="1"/>
  <c r="H195" i="6"/>
  <c r="I195" i="6" s="1"/>
  <c r="H140" i="6"/>
  <c r="I140" i="6" s="1"/>
  <c r="H60" i="6"/>
  <c r="I60" i="6" s="1"/>
  <c r="H23" i="6"/>
  <c r="I23" i="6" s="1"/>
  <c r="H112" i="6"/>
  <c r="I112" i="6" s="1"/>
  <c r="H50" i="6"/>
  <c r="I50" i="6" s="1"/>
  <c r="H79" i="6"/>
  <c r="I79" i="6" s="1"/>
  <c r="H189" i="6"/>
  <c r="I189" i="6" s="1"/>
  <c r="H54" i="6"/>
  <c r="I54" i="6" s="1"/>
  <c r="H9" i="6"/>
  <c r="I9" i="6" s="1"/>
  <c r="H63" i="6"/>
  <c r="I63" i="6" s="1"/>
  <c r="H41" i="6"/>
  <c r="I41" i="6" s="1"/>
  <c r="H127" i="6"/>
  <c r="I127" i="6" s="1"/>
  <c r="H199" i="6"/>
  <c r="I199" i="6" s="1"/>
  <c r="H49" i="6"/>
  <c r="I49" i="6" s="1"/>
  <c r="H116" i="6"/>
  <c r="I116" i="6" s="1"/>
  <c r="H64" i="6"/>
  <c r="I64" i="6" s="1"/>
  <c r="H197" i="6"/>
  <c r="I197" i="6" s="1"/>
  <c r="H72" i="6"/>
  <c r="I72" i="6" s="1"/>
  <c r="H149" i="6"/>
  <c r="I149" i="6" s="1"/>
  <c r="H92" i="6"/>
  <c r="I92" i="6" s="1"/>
  <c r="H86" i="6"/>
  <c r="I86" i="6" s="1"/>
  <c r="H128" i="6"/>
  <c r="I128" i="6" s="1"/>
  <c r="H192" i="6"/>
  <c r="I192" i="6" s="1"/>
  <c r="H166" i="6"/>
  <c r="I166" i="6" s="1"/>
  <c r="H188" i="6"/>
  <c r="I188" i="6" s="1"/>
  <c r="H32" i="6"/>
  <c r="I32" i="6" s="1"/>
  <c r="H132" i="6"/>
  <c r="I132" i="6" s="1"/>
  <c r="H44" i="6"/>
  <c r="I44" i="6" s="1"/>
  <c r="H69" i="6"/>
  <c r="I69" i="6" s="1"/>
  <c r="H22" i="6"/>
  <c r="I22" i="6" s="1"/>
  <c r="H30" i="6"/>
  <c r="I30" i="6" s="1"/>
  <c r="H36" i="6"/>
  <c r="I36" i="6" s="1"/>
  <c r="H125" i="6"/>
  <c r="I125" i="6" s="1"/>
  <c r="H159" i="6"/>
  <c r="I159" i="6" s="1"/>
  <c r="H47" i="6"/>
  <c r="I47" i="6" s="1"/>
  <c r="H33" i="6"/>
  <c r="I33" i="6" s="1"/>
  <c r="H75" i="6"/>
  <c r="I75" i="6" s="1"/>
  <c r="H78" i="6"/>
  <c r="I78" i="6" s="1"/>
  <c r="H98" i="6"/>
  <c r="I98" i="6" s="1"/>
  <c r="H46" i="6"/>
  <c r="I46" i="6" s="1"/>
  <c r="H164" i="6"/>
  <c r="I164" i="6" s="1"/>
  <c r="H190" i="6"/>
  <c r="I190" i="6" s="1"/>
  <c r="H77" i="6"/>
  <c r="I77" i="6" s="1"/>
  <c r="H154" i="6"/>
  <c r="I154" i="6" s="1"/>
  <c r="H119" i="6"/>
  <c r="I119" i="6" s="1"/>
  <c r="H158" i="6"/>
  <c r="I158" i="6" s="1"/>
  <c r="H71" i="6"/>
  <c r="I71" i="6" s="1"/>
  <c r="H130" i="6"/>
  <c r="I130" i="6" s="1"/>
  <c r="H111" i="6"/>
  <c r="I111" i="6" s="1"/>
  <c r="H11" i="6"/>
  <c r="I11" i="6" s="1"/>
  <c r="H115" i="6"/>
  <c r="I115" i="6" s="1"/>
  <c r="H106" i="6"/>
  <c r="I106" i="6" s="1"/>
  <c r="H90" i="6"/>
  <c r="I90" i="6" s="1"/>
  <c r="H107" i="6"/>
  <c r="I107" i="6" s="1"/>
  <c r="H129" i="6"/>
  <c r="I129" i="6" s="1"/>
  <c r="H37" i="6"/>
  <c r="I37" i="6" s="1"/>
  <c r="H15" i="6"/>
  <c r="I15" i="6" s="1"/>
  <c r="H175" i="6"/>
  <c r="I175" i="6" s="1"/>
  <c r="H126" i="6"/>
  <c r="I126" i="6" s="1"/>
  <c r="H16" i="6"/>
  <c r="I16" i="6" s="1"/>
  <c r="H52" i="6"/>
  <c r="I52" i="6" s="1"/>
  <c r="H27" i="6"/>
  <c r="I27" i="6" s="1"/>
  <c r="H186" i="6"/>
  <c r="I186" i="6" s="1"/>
  <c r="H150" i="6"/>
  <c r="I150" i="6" s="1"/>
  <c r="H6" i="6"/>
  <c r="I6" i="6" s="1"/>
  <c r="H57" i="6"/>
  <c r="I57" i="6" s="1"/>
  <c r="H176" i="6"/>
  <c r="I176" i="6" s="1"/>
  <c r="H91" i="6"/>
  <c r="I91" i="6" s="1"/>
  <c r="H14" i="6"/>
  <c r="I14" i="6" s="1"/>
  <c r="H56" i="6"/>
  <c r="I56" i="6" s="1"/>
  <c r="H179" i="6"/>
  <c r="I179" i="6" s="1"/>
  <c r="H196" i="6"/>
  <c r="I196" i="6" s="1"/>
  <c r="H70" i="6"/>
  <c r="I70" i="6" s="1"/>
  <c r="H35" i="6"/>
  <c r="I35" i="6" s="1"/>
  <c r="H25" i="6"/>
  <c r="I25" i="6" s="1"/>
  <c r="H48" i="6"/>
  <c r="I48" i="6" s="1"/>
  <c r="H10" i="6"/>
  <c r="I10" i="6" s="1"/>
  <c r="H19" i="6"/>
  <c r="I19" i="6" s="1"/>
  <c r="H31" i="6"/>
  <c r="I31" i="6" s="1"/>
  <c r="H122" i="6"/>
  <c r="I122" i="6" s="1"/>
  <c r="H45" i="6"/>
  <c r="I45" i="6" s="1"/>
  <c r="H105" i="6"/>
  <c r="I105" i="6" s="1"/>
  <c r="H113" i="6"/>
  <c r="I113" i="6" s="1"/>
  <c r="H100" i="6"/>
  <c r="I100" i="6" s="1"/>
  <c r="H87" i="6"/>
  <c r="I87" i="6" s="1"/>
  <c r="H21" i="6"/>
  <c r="I21" i="6" s="1"/>
  <c r="H55" i="6"/>
  <c r="I55" i="6" s="1"/>
  <c r="H97" i="6"/>
  <c r="I97" i="6" s="1"/>
  <c r="H157" i="6"/>
  <c r="I157" i="6" s="1"/>
  <c r="H65" i="6"/>
  <c r="I65" i="6" s="1"/>
  <c r="H80" i="6"/>
  <c r="I80" i="6" s="1"/>
  <c r="H18" i="6"/>
  <c r="I18" i="6" s="1"/>
  <c r="H94" i="6"/>
  <c r="I94" i="6" s="1"/>
  <c r="H183" i="6"/>
  <c r="I183" i="6" s="1"/>
  <c r="H13" i="6"/>
  <c r="I13" i="6" s="1"/>
  <c r="H173" i="6"/>
  <c r="I173" i="6" s="1"/>
  <c r="H74" i="6"/>
  <c r="I74" i="6" s="1"/>
  <c r="H4" i="6"/>
  <c r="I4" i="6" s="1"/>
  <c r="H171" i="6"/>
  <c r="I171" i="6" s="1"/>
  <c r="H161" i="6"/>
  <c r="I161" i="6" s="1"/>
  <c r="H139" i="6"/>
  <c r="I139" i="6" s="1"/>
  <c r="H134" i="6"/>
  <c r="I134" i="6" s="1"/>
  <c r="H29" i="6"/>
  <c r="I29" i="6" s="1"/>
  <c r="H141" i="6"/>
  <c r="I141" i="6" s="1"/>
  <c r="H8" i="6"/>
  <c r="I8" i="6" s="1"/>
  <c r="H138" i="6"/>
  <c r="I138" i="6" s="1"/>
  <c r="H144" i="6"/>
  <c r="I144" i="6" s="1"/>
  <c r="H39" i="6"/>
  <c r="I39" i="6" s="1"/>
  <c r="H110" i="6"/>
  <c r="I110" i="6" s="1"/>
  <c r="H137" i="6"/>
  <c r="I137" i="6" s="1"/>
  <c r="H76" i="6"/>
  <c r="I76" i="6" s="1"/>
  <c r="H194" i="6"/>
  <c r="I194" i="6" s="1"/>
  <c r="H156" i="6"/>
  <c r="I156" i="6" s="1"/>
  <c r="H151" i="6"/>
  <c r="I151" i="6" s="1"/>
  <c r="H61" i="6"/>
  <c r="I61" i="6" s="1"/>
  <c r="H181" i="6"/>
  <c r="I181" i="6" s="1"/>
  <c r="H143" i="6"/>
  <c r="I143" i="6" s="1"/>
  <c r="H135" i="6"/>
  <c r="I135" i="6" s="1"/>
  <c r="H152" i="6"/>
  <c r="I152" i="6" s="1"/>
  <c r="H168" i="6"/>
  <c r="I168" i="6" s="1"/>
  <c r="H104" i="6"/>
  <c r="I104" i="6" s="1"/>
  <c r="H136" i="6"/>
  <c r="I136" i="6" s="1"/>
  <c r="H153" i="6"/>
  <c r="I153" i="6" s="1"/>
  <c r="H108" i="6"/>
  <c r="I108" i="6" s="1"/>
  <c r="H103" i="6"/>
  <c r="I103" i="6" s="1"/>
  <c r="H172" i="6"/>
  <c r="I172" i="6" s="1"/>
  <c r="H165" i="6"/>
  <c r="I165" i="6" s="1"/>
  <c r="H174" i="6"/>
  <c r="I174" i="6" s="1"/>
  <c r="H82" i="6"/>
  <c r="I82" i="6" s="1"/>
  <c r="H163" i="6"/>
  <c r="I163" i="6" s="1"/>
  <c r="H109" i="6"/>
  <c r="I109" i="6" s="1"/>
  <c r="H177" i="6"/>
  <c r="I177" i="6" s="1"/>
  <c r="H89" i="6"/>
  <c r="I89" i="6" s="1"/>
  <c r="H38" i="6"/>
  <c r="I38" i="6" s="1"/>
  <c r="H42" i="6"/>
  <c r="I42" i="6" s="1"/>
  <c r="H131" i="6"/>
  <c r="I131" i="6" s="1"/>
  <c r="H124" i="6"/>
  <c r="I124" i="6" s="1"/>
  <c r="H182" i="6"/>
  <c r="I182" i="6" s="1"/>
  <c r="H3" i="6"/>
  <c r="I3" i="6" s="1"/>
  <c r="H59" i="6"/>
  <c r="I59" i="6" s="1"/>
  <c r="H26" i="6"/>
  <c r="I26" i="6" s="1"/>
  <c r="H170" i="6"/>
  <c r="I170" i="6" s="1"/>
  <c r="H146" i="6"/>
  <c r="I146" i="6" s="1"/>
  <c r="H34" i="6"/>
  <c r="I34" i="6" s="1"/>
  <c r="H12" i="6"/>
  <c r="I12" i="6" s="1"/>
  <c r="H184" i="6"/>
  <c r="I184" i="6" s="1"/>
  <c r="H40" i="6"/>
  <c r="I40" i="6" s="1"/>
  <c r="H5" i="6"/>
  <c r="I5" i="6" s="1"/>
  <c r="H148" i="6"/>
  <c r="I148" i="6" s="1"/>
  <c r="H180" i="6"/>
  <c r="I180" i="6" s="1"/>
  <c r="H95" i="6"/>
  <c r="I95" i="6" s="1"/>
  <c r="H114" i="6"/>
  <c r="I114" i="6" s="1"/>
  <c r="H58" i="6"/>
  <c r="I58" i="6" s="1"/>
  <c r="H2" i="6"/>
  <c r="I2" i="6" s="1"/>
  <c r="H123" i="6"/>
  <c r="I123" i="6" s="1"/>
  <c r="H191" i="6"/>
  <c r="I191" i="6" s="1"/>
  <c r="H88" i="6"/>
  <c r="I88" i="6" s="1"/>
  <c r="H68" i="6"/>
  <c r="I68" i="6" s="1"/>
  <c r="H200" i="6"/>
  <c r="I200" i="6" s="1"/>
  <c r="H51" i="6"/>
  <c r="I51" i="6" s="1"/>
  <c r="H93" i="6"/>
  <c r="I93" i="6" s="1"/>
  <c r="H193" i="6"/>
  <c r="I193" i="6" s="1"/>
  <c r="H162" i="6"/>
  <c r="I162" i="6" s="1"/>
  <c r="H53" i="6"/>
  <c r="I53" i="6" s="1"/>
  <c r="H81" i="6"/>
  <c r="I81" i="6" s="1"/>
  <c r="H28" i="6"/>
  <c r="I28" i="6" s="1"/>
  <c r="H160" i="6"/>
  <c r="I160" i="6" s="1"/>
  <c r="H187" i="6"/>
  <c r="I187" i="6" s="1"/>
  <c r="H120" i="6"/>
  <c r="I120" i="6" s="1"/>
  <c r="H73" i="6"/>
  <c r="I73" i="6" s="1"/>
  <c r="H66" i="6"/>
  <c r="I66" i="6" s="1"/>
  <c r="H178" i="6"/>
  <c r="I178" i="6" s="1"/>
  <c r="H84" i="6"/>
  <c r="I84" i="6" s="1"/>
  <c r="H99" i="6"/>
  <c r="I99" i="6" s="1"/>
  <c r="H7" i="6"/>
  <c r="I7" i="6" s="1"/>
  <c r="H20" i="6"/>
  <c r="I20" i="6" s="1"/>
  <c r="H185" i="6"/>
  <c r="I185" i="6" s="1"/>
  <c r="H142" i="6"/>
  <c r="I142" i="6" s="1"/>
  <c r="H102" i="6"/>
  <c r="I102" i="6" s="1"/>
  <c r="H117" i="6"/>
  <c r="I117" i="6" s="1"/>
  <c r="H133" i="6"/>
  <c r="I133" i="6" s="1"/>
  <c r="H24" i="6"/>
  <c r="I24" i="6" s="1"/>
  <c r="W14" i="3" l="1"/>
  <c r="V14" i="3"/>
</calcChain>
</file>

<file path=xl/sharedStrings.xml><?xml version="1.0" encoding="utf-8"?>
<sst xmlns="http://schemas.openxmlformats.org/spreadsheetml/2006/main" count="80" uniqueCount="68">
  <si>
    <t>EUR</t>
  </si>
  <si>
    <t>XXBT</t>
  </si>
  <si>
    <t>XXBTZUSD</t>
  </si>
  <si>
    <t>XXRP</t>
  </si>
  <si>
    <t>XXRPXXBT</t>
  </si>
  <si>
    <t>XETH</t>
  </si>
  <si>
    <t>XETHXXBT</t>
  </si>
  <si>
    <t>XTZ</t>
  </si>
  <si>
    <t>XTZXBT</t>
  </si>
  <si>
    <t>Ticker</t>
  </si>
  <si>
    <t>Time</t>
  </si>
  <si>
    <t>Type</t>
  </si>
  <si>
    <t>Volume</t>
  </si>
  <si>
    <t>Price</t>
  </si>
  <si>
    <t>Cost</t>
  </si>
  <si>
    <t>Fee</t>
  </si>
  <si>
    <t>GBP</t>
  </si>
  <si>
    <t>XBT</t>
  </si>
  <si>
    <t>Balance</t>
  </si>
  <si>
    <t>Price Buy</t>
  </si>
  <si>
    <t>Price Now</t>
  </si>
  <si>
    <t>Amount</t>
  </si>
  <si>
    <t>Value EUR</t>
  </si>
  <si>
    <t>Current Value</t>
  </si>
  <si>
    <t>BUY</t>
  </si>
  <si>
    <t>SELL</t>
  </si>
  <si>
    <t>Pair</t>
  </si>
  <si>
    <t>Asset</t>
  </si>
  <si>
    <t>Market</t>
  </si>
  <si>
    <t>RND</t>
  </si>
  <si>
    <t>LINK</t>
  </si>
  <si>
    <t>LINKXBT</t>
  </si>
  <si>
    <t>Date</t>
  </si>
  <si>
    <t>Trading</t>
  </si>
  <si>
    <t>Profit and Loss</t>
  </si>
  <si>
    <t>Base</t>
  </si>
  <si>
    <t>XXBTZEUR</t>
  </si>
  <si>
    <t>Value</t>
  </si>
  <si>
    <t>ZEUR</t>
  </si>
  <si>
    <t>ZUSD</t>
  </si>
  <si>
    <t>Weight</t>
  </si>
  <si>
    <t>XBTEUR</t>
  </si>
  <si>
    <t>RUB</t>
  </si>
  <si>
    <t>Investment</t>
  </si>
  <si>
    <t>P/L</t>
  </si>
  <si>
    <t>ALL</t>
  </si>
  <si>
    <t>Stop Loss</t>
  </si>
  <si>
    <t>USD</t>
  </si>
  <si>
    <t>XBTUSD</t>
  </si>
  <si>
    <t>ETHXBT</t>
  </si>
  <si>
    <t>XRPXBT</t>
  </si>
  <si>
    <t>KAVA</t>
  </si>
  <si>
    <t>KAVAXBT</t>
  </si>
  <si>
    <t>XTZEUR</t>
  </si>
  <si>
    <t>LINKEUR</t>
  </si>
  <si>
    <t>KAVAEUR</t>
  </si>
  <si>
    <t>XXRPZEUR</t>
  </si>
  <si>
    <t>XETHZUSD</t>
  </si>
  <si>
    <t>Forex</t>
  </si>
  <si>
    <t>Crypto</t>
  </si>
  <si>
    <t>Crypto:</t>
  </si>
  <si>
    <t>Total GBP:</t>
  </si>
  <si>
    <t>Total Forex:</t>
  </si>
  <si>
    <t>%</t>
  </si>
  <si>
    <t>Monthly performance</t>
  </si>
  <si>
    <t>TODAY</t>
  </si>
  <si>
    <t>Capital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</si>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</sst>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00"/>
    <numFmt numFmtId="166" formatCode="0.000000000"/>
    <numFmt numFmtId="167" formatCode="0.000000"/>
    <numFmt numFmtId="168" formatCode="0.0000000"/>
    <numFmt numFmtId="169" formatCode="0.00000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rgb="FFFF8585"/>
        <bgColor indexed="64"/>
      </patternFill>
    </fill>
    <fill>
      <patternFill patternType="solid">
        <fgColor rgb="FFFF8585"/>
        <bgColor theme="6" tint="0.5999938962981048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6" tint="0.59999389629810485"/>
      </patternFill>
    </fill>
    <fill>
      <patternFill patternType="solid">
        <fgColor theme="0" tint="-0.34998626667073579"/>
        <bgColor theme="6"/>
      </patternFill>
    </fill>
    <fill>
      <patternFill patternType="solid">
        <fgColor theme="0" tint="-0.14999847407452621"/>
        <bgColor theme="6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4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1" fontId="0" fillId="0" borderId="0" xfId="0" applyNumberFormat="1" applyBorder="1"/>
    <xf numFmtId="14" fontId="4" fillId="3" borderId="1" xfId="0" applyNumberFormat="1" applyFont="1" applyFill="1" applyBorder="1" applyAlignment="1">
      <alignment horizontal="center"/>
    </xf>
    <xf numFmtId="2" fontId="2" fillId="3" borderId="12" xfId="0" applyNumberFormat="1" applyFont="1" applyFill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164" fontId="0" fillId="0" borderId="0" xfId="0" applyNumberFormat="1"/>
    <xf numFmtId="0" fontId="0" fillId="0" borderId="0" xfId="0" applyFill="1" applyBorder="1"/>
    <xf numFmtId="10" fontId="2" fillId="0" borderId="0" xfId="0" applyNumberFormat="1" applyFont="1" applyFill="1" applyBorder="1" applyAlignment="1"/>
    <xf numFmtId="2" fontId="0" fillId="0" borderId="0" xfId="0" applyNumberFormat="1" applyAlignment="1"/>
    <xf numFmtId="2" fontId="2" fillId="3" borderId="1" xfId="0" applyNumberFormat="1" applyFont="1" applyFill="1" applyBorder="1" applyAlignment="1">
      <alignment horizontal="center"/>
    </xf>
    <xf numFmtId="2" fontId="2" fillId="3" borderId="24" xfId="0" applyNumberFormat="1" applyFont="1" applyFill="1" applyBorder="1" applyAlignment="1">
      <alignment horizontal="center"/>
    </xf>
    <xf numFmtId="2" fontId="0" fillId="6" borderId="16" xfId="0" applyNumberFormat="1" applyFill="1" applyBorder="1"/>
    <xf numFmtId="164" fontId="3" fillId="6" borderId="18" xfId="0" applyNumberFormat="1" applyFont="1" applyFill="1" applyBorder="1"/>
    <xf numFmtId="2" fontId="0" fillId="6" borderId="14" xfId="0" applyNumberFormat="1" applyFill="1" applyBorder="1"/>
    <xf numFmtId="2" fontId="0" fillId="6" borderId="19" xfId="0" applyNumberFormat="1" applyFill="1" applyBorder="1"/>
    <xf numFmtId="164" fontId="3" fillId="6" borderId="21" xfId="0" applyNumberFormat="1" applyFont="1" applyFill="1" applyBorder="1"/>
    <xf numFmtId="2" fontId="3" fillId="2" borderId="23" xfId="0" applyNumberFormat="1" applyFont="1" applyFill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164" fontId="3" fillId="4" borderId="12" xfId="0" applyNumberFormat="1" applyFont="1" applyFill="1" applyBorder="1"/>
    <xf numFmtId="2" fontId="3" fillId="4" borderId="3" xfId="0" applyNumberFormat="1" applyFont="1" applyFill="1" applyBorder="1"/>
    <xf numFmtId="0" fontId="3" fillId="4" borderId="12" xfId="0" applyFont="1" applyFill="1" applyBorder="1"/>
    <xf numFmtId="2" fontId="3" fillId="5" borderId="17" xfId="0" applyNumberFormat="1" applyFont="1" applyFill="1" applyBorder="1"/>
    <xf numFmtId="0" fontId="9" fillId="0" borderId="0" xfId="0" applyFont="1"/>
    <xf numFmtId="2" fontId="0" fillId="6" borderId="17" xfId="0" applyNumberFormat="1" applyFont="1" applyFill="1" applyBorder="1" applyAlignment="1"/>
    <xf numFmtId="10" fontId="3" fillId="6" borderId="3" xfId="0" applyNumberFormat="1" applyFont="1" applyFill="1" applyBorder="1"/>
    <xf numFmtId="0" fontId="3" fillId="6" borderId="12" xfId="0" applyFont="1" applyFill="1" applyBorder="1"/>
    <xf numFmtId="2" fontId="3" fillId="6" borderId="3" xfId="0" applyNumberFormat="1" applyFont="1" applyFill="1" applyBorder="1"/>
    <xf numFmtId="2" fontId="0" fillId="13" borderId="25" xfId="0" applyNumberFormat="1" applyFill="1" applyBorder="1" applyAlignment="1"/>
    <xf numFmtId="164" fontId="0" fillId="11" borderId="13" xfId="0" applyNumberFormat="1" applyFill="1" applyBorder="1"/>
    <xf numFmtId="2" fontId="2" fillId="9" borderId="24" xfId="0" applyNumberFormat="1" applyFont="1" applyFill="1" applyBorder="1" applyAlignment="1">
      <alignment horizontal="center"/>
    </xf>
    <xf numFmtId="2" fontId="2" fillId="8" borderId="24" xfId="0" applyNumberFormat="1" applyFont="1" applyFill="1" applyBorder="1" applyAlignment="1">
      <alignment horizontal="center"/>
    </xf>
    <xf numFmtId="0" fontId="8" fillId="12" borderId="24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0" fontId="0" fillId="0" borderId="16" xfId="0" applyNumberFormat="1" applyBorder="1"/>
    <xf numFmtId="10" fontId="0" fillId="0" borderId="17" xfId="0" applyNumberFormat="1" applyBorder="1"/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11" borderId="20" xfId="0" applyNumberFormat="1" applyFill="1" applyBorder="1"/>
    <xf numFmtId="0" fontId="0" fillId="0" borderId="21" xfId="0" applyBorder="1" applyAlignment="1">
      <alignment horizontal="center"/>
    </xf>
    <xf numFmtId="164" fontId="3" fillId="6" borderId="3" xfId="0" applyNumberFormat="1" applyFont="1" applyFill="1" applyBorder="1"/>
    <xf numFmtId="2" fontId="3" fillId="4" borderId="12" xfId="0" applyNumberFormat="1" applyFont="1" applyFill="1" applyBorder="1"/>
    <xf numFmtId="0" fontId="3" fillId="6" borderId="23" xfId="0" applyFont="1" applyFill="1" applyBorder="1"/>
    <xf numFmtId="164" fontId="3" fillId="6" borderId="23" xfId="0" applyNumberFormat="1" applyFont="1" applyFill="1" applyBorder="1"/>
    <xf numFmtId="2" fontId="3" fillId="6" borderId="29" xfId="0" applyNumberFormat="1" applyFont="1" applyFill="1" applyBorder="1"/>
    <xf numFmtId="2" fontId="3" fillId="6" borderId="23" xfId="0" applyNumberFormat="1" applyFont="1" applyFill="1" applyBorder="1"/>
    <xf numFmtId="165" fontId="2" fillId="3" borderId="12" xfId="0" applyNumberFormat="1" applyFont="1" applyFill="1" applyBorder="1" applyAlignment="1">
      <alignment horizontal="center"/>
    </xf>
    <xf numFmtId="1" fontId="0" fillId="0" borderId="33" xfId="0" applyNumberFormat="1" applyBorder="1"/>
    <xf numFmtId="0" fontId="0" fillId="17" borderId="28" xfId="0" applyFill="1" applyBorder="1"/>
    <xf numFmtId="0" fontId="0" fillId="17" borderId="37" xfId="0" applyFill="1" applyBorder="1"/>
    <xf numFmtId="164" fontId="3" fillId="18" borderId="13" xfId="0" applyNumberFormat="1" applyFont="1" applyFill="1" applyBorder="1"/>
    <xf numFmtId="164" fontId="0" fillId="17" borderId="13" xfId="0" applyNumberFormat="1" applyFont="1" applyFill="1" applyBorder="1"/>
    <xf numFmtId="164" fontId="0" fillId="17" borderId="25" xfId="0" applyNumberFormat="1" applyFill="1" applyBorder="1" applyAlignment="1"/>
    <xf numFmtId="2" fontId="0" fillId="17" borderId="25" xfId="0" applyNumberFormat="1" applyFill="1" applyBorder="1" applyAlignment="1"/>
    <xf numFmtId="166" fontId="0" fillId="17" borderId="13" xfId="0" applyNumberFormat="1" applyFill="1" applyBorder="1"/>
    <xf numFmtId="166" fontId="3" fillId="17" borderId="27" xfId="0" applyNumberFormat="1" applyFont="1" applyFill="1" applyBorder="1"/>
    <xf numFmtId="0" fontId="0" fillId="17" borderId="32" xfId="0" applyFill="1" applyBorder="1"/>
    <xf numFmtId="0" fontId="0" fillId="17" borderId="38" xfId="0" applyFill="1" applyBorder="1"/>
    <xf numFmtId="0" fontId="0" fillId="19" borderId="28" xfId="0" applyFill="1" applyBorder="1"/>
    <xf numFmtId="0" fontId="0" fillId="19" borderId="37" xfId="0" applyFill="1" applyBorder="1"/>
    <xf numFmtId="164" fontId="3" fillId="20" borderId="13" xfId="0" applyNumberFormat="1" applyFont="1" applyFill="1" applyBorder="1"/>
    <xf numFmtId="166" fontId="0" fillId="19" borderId="13" xfId="0" applyNumberFormat="1" applyFill="1" applyBorder="1"/>
    <xf numFmtId="166" fontId="3" fillId="19" borderId="27" xfId="0" applyNumberFormat="1" applyFont="1" applyFill="1" applyBorder="1"/>
    <xf numFmtId="164" fontId="0" fillId="19" borderId="13" xfId="0" applyNumberFormat="1" applyFill="1" applyBorder="1"/>
    <xf numFmtId="164" fontId="0" fillId="19" borderId="13" xfId="0" applyNumberFormat="1" applyFill="1" applyBorder="1" applyAlignment="1"/>
    <xf numFmtId="2" fontId="0" fillId="19" borderId="13" xfId="0" applyNumberFormat="1" applyFill="1" applyBorder="1" applyAlignment="1"/>
    <xf numFmtId="164" fontId="3" fillId="0" borderId="0" xfId="0" applyNumberFormat="1" applyFont="1" applyFill="1" applyBorder="1"/>
    <xf numFmtId="1" fontId="7" fillId="10" borderId="14" xfId="0" applyNumberFormat="1" applyFont="1" applyFill="1" applyBorder="1"/>
    <xf numFmtId="1" fontId="7" fillId="7" borderId="13" xfId="0" applyNumberFormat="1" applyFont="1" applyFill="1" applyBorder="1"/>
    <xf numFmtId="2" fontId="0" fillId="13" borderId="25" xfId="0" applyNumberFormat="1" applyFill="1" applyBorder="1"/>
    <xf numFmtId="10" fontId="2" fillId="21" borderId="23" xfId="0" applyNumberFormat="1" applyFont="1" applyFill="1" applyBorder="1" applyAlignment="1"/>
    <xf numFmtId="10" fontId="2" fillId="21" borderId="35" xfId="0" applyNumberFormat="1" applyFont="1" applyFill="1" applyBorder="1" applyAlignment="1"/>
    <xf numFmtId="10" fontId="2" fillId="21" borderId="28" xfId="0" applyNumberFormat="1" applyFont="1" applyFill="1" applyBorder="1" applyAlignment="1"/>
    <xf numFmtId="167" fontId="0" fillId="0" borderId="10" xfId="0" applyNumberFormat="1" applyBorder="1"/>
    <xf numFmtId="167" fontId="0" fillId="0" borderId="5" xfId="0" applyNumberFormat="1" applyBorder="1"/>
    <xf numFmtId="167" fontId="0" fillId="0" borderId="11" xfId="0" applyNumberFormat="1" applyBorder="1"/>
    <xf numFmtId="167" fontId="0" fillId="0" borderId="0" xfId="0" applyNumberFormat="1"/>
    <xf numFmtId="1" fontId="3" fillId="2" borderId="3" xfId="0" applyNumberFormat="1" applyFont="1" applyFill="1" applyBorder="1" applyAlignment="1">
      <alignment horizontal="center"/>
    </xf>
    <xf numFmtId="168" fontId="7" fillId="10" borderId="14" xfId="0" applyNumberFormat="1" applyFont="1" applyFill="1" applyBorder="1"/>
    <xf numFmtId="167" fontId="7" fillId="10" borderId="14" xfId="0" applyNumberFormat="1" applyFont="1" applyFill="1" applyBorder="1"/>
    <xf numFmtId="167" fontId="7" fillId="7" borderId="13" xfId="0" applyNumberFormat="1" applyFont="1" applyFill="1" applyBorder="1"/>
    <xf numFmtId="164" fontId="3" fillId="6" borderId="22" xfId="0" applyNumberFormat="1" applyFont="1" applyFill="1" applyBorder="1"/>
    <xf numFmtId="164" fontId="10" fillId="6" borderId="27" xfId="0" applyNumberFormat="1" applyFont="1" applyFill="1" applyBorder="1"/>
    <xf numFmtId="164" fontId="3" fillId="6" borderId="40" xfId="0" applyNumberFormat="1" applyFont="1" applyFill="1" applyBorder="1"/>
    <xf numFmtId="164" fontId="0" fillId="13" borderId="13" xfId="0" applyNumberFormat="1" applyFont="1" applyFill="1" applyBorder="1"/>
    <xf numFmtId="2" fontId="0" fillId="13" borderId="13" xfId="0" applyNumberFormat="1" applyFill="1" applyBorder="1" applyAlignment="1"/>
    <xf numFmtId="0" fontId="0" fillId="13" borderId="37" xfId="0" applyFill="1" applyBorder="1"/>
    <xf numFmtId="0" fontId="0" fillId="13" borderId="28" xfId="0" applyFill="1" applyBorder="1"/>
    <xf numFmtId="10" fontId="2" fillId="22" borderId="18" xfId="0" applyNumberFormat="1" applyFont="1" applyFill="1" applyBorder="1" applyAlignment="1"/>
    <xf numFmtId="10" fontId="2" fillId="22" borderId="15" xfId="0" applyNumberFormat="1" applyFont="1" applyFill="1" applyBorder="1" applyAlignment="1"/>
    <xf numFmtId="10" fontId="0" fillId="5" borderId="21" xfId="0" applyNumberFormat="1" applyFill="1" applyBorder="1"/>
    <xf numFmtId="168" fontId="0" fillId="5" borderId="16" xfId="0" applyNumberFormat="1" applyFill="1" applyBorder="1"/>
    <xf numFmtId="168" fontId="0" fillId="5" borderId="14" xfId="0" applyNumberFormat="1" applyFill="1" applyBorder="1"/>
    <xf numFmtId="168" fontId="0" fillId="5" borderId="19" xfId="0" applyNumberFormat="1" applyFill="1" applyBorder="1"/>
    <xf numFmtId="164" fontId="0" fillId="0" borderId="0" xfId="0" applyNumberFormat="1" applyBorder="1"/>
    <xf numFmtId="10" fontId="2" fillId="21" borderId="32" xfId="0" applyNumberFormat="1" applyFont="1" applyFill="1" applyBorder="1" applyAlignment="1"/>
    <xf numFmtId="164" fontId="0" fillId="19" borderId="25" xfId="0" applyNumberFormat="1" applyFill="1" applyBorder="1" applyAlignment="1"/>
    <xf numFmtId="2" fontId="0" fillId="19" borderId="25" xfId="0" applyNumberFormat="1" applyFill="1" applyBorder="1" applyAlignment="1"/>
    <xf numFmtId="10" fontId="0" fillId="0" borderId="0" xfId="0" applyNumberFormat="1"/>
    <xf numFmtId="2" fontId="0" fillId="13" borderId="13" xfId="0" applyNumberFormat="1" applyFill="1" applyBorder="1"/>
    <xf numFmtId="0" fontId="0" fillId="19" borderId="32" xfId="0" applyFill="1" applyBorder="1"/>
    <xf numFmtId="0" fontId="0" fillId="19" borderId="38" xfId="0" applyFill="1" applyBorder="1"/>
    <xf numFmtId="164" fontId="3" fillId="20" borderId="25" xfId="0" applyNumberFormat="1" applyFont="1" applyFill="1" applyBorder="1"/>
    <xf numFmtId="164" fontId="0" fillId="19" borderId="25" xfId="0" applyNumberFormat="1" applyFill="1" applyBorder="1"/>
    <xf numFmtId="166" fontId="0" fillId="19" borderId="25" xfId="0" applyNumberFormat="1" applyFill="1" applyBorder="1"/>
    <xf numFmtId="166" fontId="3" fillId="19" borderId="33" xfId="0" applyNumberFormat="1" applyFont="1" applyFill="1" applyBorder="1"/>
    <xf numFmtId="164" fontId="0" fillId="13" borderId="25" xfId="0" applyNumberFormat="1" applyFill="1" applyBorder="1" applyAlignment="1"/>
    <xf numFmtId="2" fontId="7" fillId="7" borderId="13" xfId="0" applyNumberFormat="1" applyFont="1" applyFill="1" applyBorder="1"/>
    <xf numFmtId="2" fontId="3" fillId="14" borderId="26" xfId="0" applyNumberFormat="1" applyFont="1" applyFill="1" applyBorder="1"/>
    <xf numFmtId="2" fontId="3" fillId="14" borderId="13" xfId="0" applyNumberFormat="1" applyFont="1" applyFill="1" applyBorder="1"/>
    <xf numFmtId="167" fontId="10" fillId="6" borderId="15" xfId="0" applyNumberFormat="1" applyFont="1" applyFill="1" applyBorder="1"/>
    <xf numFmtId="2" fontId="3" fillId="5" borderId="25" xfId="0" applyNumberFormat="1" applyFont="1" applyFill="1" applyBorder="1"/>
    <xf numFmtId="2" fontId="0" fillId="6" borderId="25" xfId="0" applyNumberFormat="1" applyFont="1" applyFill="1" applyBorder="1" applyAlignment="1"/>
    <xf numFmtId="2" fontId="3" fillId="2" borderId="32" xfId="0" applyNumberFormat="1" applyFont="1" applyFill="1" applyBorder="1"/>
    <xf numFmtId="0" fontId="0" fillId="13" borderId="32" xfId="0" applyFill="1" applyBorder="1"/>
    <xf numFmtId="0" fontId="0" fillId="13" borderId="38" xfId="0" applyFill="1" applyBorder="1"/>
    <xf numFmtId="164" fontId="0" fillId="13" borderId="25" xfId="0" applyNumberFormat="1" applyFont="1" applyFill="1" applyBorder="1"/>
    <xf numFmtId="2" fontId="3" fillId="13" borderId="33" xfId="0" applyNumberFormat="1" applyFont="1" applyFill="1" applyBorder="1"/>
    <xf numFmtId="0" fontId="3" fillId="15" borderId="23" xfId="0" applyFont="1" applyFill="1" applyBorder="1"/>
    <xf numFmtId="0" fontId="3" fillId="15" borderId="36" xfId="0" applyFont="1" applyFill="1" applyBorder="1"/>
    <xf numFmtId="164" fontId="3" fillId="16" borderId="17" xfId="0" applyNumberFormat="1" applyFont="1" applyFill="1" applyBorder="1"/>
    <xf numFmtId="164" fontId="3" fillId="15" borderId="17" xfId="0" applyNumberFormat="1" applyFont="1" applyFill="1" applyBorder="1"/>
    <xf numFmtId="164" fontId="3" fillId="15" borderId="17" xfId="0" applyNumberFormat="1" applyFont="1" applyFill="1" applyBorder="1" applyAlignment="1"/>
    <xf numFmtId="2" fontId="3" fillId="15" borderId="17" xfId="0" applyNumberFormat="1" applyFont="1" applyFill="1" applyBorder="1" applyAlignment="1"/>
    <xf numFmtId="2" fontId="3" fillId="15" borderId="17" xfId="0" applyNumberFormat="1" applyFont="1" applyFill="1" applyBorder="1"/>
    <xf numFmtId="2" fontId="3" fillId="15" borderId="22" xfId="0" applyNumberFormat="1" applyFont="1" applyFill="1" applyBorder="1"/>
    <xf numFmtId="168" fontId="0" fillId="19" borderId="13" xfId="0" applyNumberFormat="1" applyFill="1" applyBorder="1"/>
    <xf numFmtId="168" fontId="0" fillId="19" borderId="25" xfId="0" applyNumberFormat="1" applyFill="1" applyBorder="1"/>
    <xf numFmtId="168" fontId="0" fillId="17" borderId="13" xfId="0" applyNumberFormat="1" applyFill="1" applyBorder="1"/>
    <xf numFmtId="2" fontId="3" fillId="13" borderId="15" xfId="0" applyNumberFormat="1" applyFont="1" applyFill="1" applyBorder="1"/>
    <xf numFmtId="10" fontId="2" fillId="22" borderId="28" xfId="0" applyNumberFormat="1" applyFont="1" applyFill="1" applyBorder="1" applyAlignment="1"/>
    <xf numFmtId="2" fontId="0" fillId="0" borderId="10" xfId="0" applyNumberFormat="1" applyBorder="1"/>
    <xf numFmtId="2" fontId="0" fillId="0" borderId="5" xfId="0" applyNumberFormat="1" applyBorder="1"/>
    <xf numFmtId="169" fontId="7" fillId="10" borderId="14" xfId="0" applyNumberFormat="1" applyFont="1" applyFill="1" applyBorder="1"/>
    <xf numFmtId="169" fontId="7" fillId="7" borderId="13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ill="1" applyBorder="1" applyAlignment="1"/>
    <xf numFmtId="2" fontId="0" fillId="0" borderId="0" xfId="0" applyNumberFormat="1" applyFill="1" applyBorder="1" applyAlignment="1"/>
    <xf numFmtId="164" fontId="0" fillId="0" borderId="0" xfId="0" applyNumberFormat="1" applyFill="1" applyBorder="1"/>
    <xf numFmtId="2" fontId="5" fillId="0" borderId="0" xfId="0" applyNumberFormat="1" applyFont="1" applyFill="1" applyBorder="1"/>
    <xf numFmtId="10" fontId="6" fillId="0" borderId="0" xfId="0" applyNumberFormat="1" applyFont="1" applyFill="1" applyBorder="1" applyAlignment="1"/>
    <xf numFmtId="0" fontId="11" fillId="15" borderId="39" xfId="0" applyFont="1" applyFill="1" applyBorder="1"/>
    <xf numFmtId="164" fontId="11" fillId="16" borderId="30" xfId="0" applyNumberFormat="1" applyFont="1" applyFill="1" applyBorder="1"/>
    <xf numFmtId="2" fontId="11" fillId="15" borderId="30" xfId="0" applyNumberFormat="1" applyFont="1" applyFill="1" applyBorder="1"/>
    <xf numFmtId="2" fontId="11" fillId="15" borderId="30" xfId="0" applyNumberFormat="1" applyFont="1" applyFill="1" applyBorder="1" applyAlignment="1"/>
    <xf numFmtId="164" fontId="11" fillId="15" borderId="30" xfId="0" applyNumberFormat="1" applyFont="1" applyFill="1" applyBorder="1"/>
    <xf numFmtId="164" fontId="11" fillId="15" borderId="31" xfId="0" applyNumberFormat="1" applyFont="1" applyFill="1" applyBorder="1"/>
    <xf numFmtId="2" fontId="12" fillId="2" borderId="12" xfId="0" applyNumberFormat="1" applyFont="1" applyFill="1" applyBorder="1"/>
    <xf numFmtId="10" fontId="13" fillId="21" borderId="3" xfId="0" applyNumberFormat="1" applyFont="1" applyFill="1" applyBorder="1" applyAlignment="1"/>
    <xf numFmtId="164" fontId="11" fillId="15" borderId="30" xfId="0" applyNumberFormat="1" applyFont="1" applyFill="1" applyBorder="1" applyAlignment="1"/>
    <xf numFmtId="0" fontId="14" fillId="15" borderId="1" xfId="0" applyFont="1" applyFill="1" applyBorder="1"/>
    <xf numFmtId="164" fontId="11" fillId="16" borderId="39" xfId="0" applyNumberFormat="1" applyFont="1" applyFill="1" applyBorder="1"/>
    <xf numFmtId="0" fontId="11" fillId="15" borderId="2" xfId="0" applyFont="1" applyFill="1" applyBorder="1"/>
    <xf numFmtId="164" fontId="11" fillId="15" borderId="3" xfId="0" applyNumberFormat="1" applyFont="1" applyFill="1" applyBorder="1"/>
    <xf numFmtId="164" fontId="11" fillId="15" borderId="2" xfId="0" applyNumberFormat="1" applyFont="1" applyFill="1" applyBorder="1"/>
    <xf numFmtId="0" fontId="15" fillId="0" borderId="0" xfId="0" applyFont="1" applyFill="1" applyBorder="1"/>
    <xf numFmtId="164" fontId="11" fillId="15" borderId="43" xfId="0" applyNumberFormat="1" applyFont="1" applyFill="1" applyBorder="1"/>
    <xf numFmtId="1" fontId="0" fillId="0" borderId="34" xfId="0" applyNumberFormat="1" applyFill="1" applyBorder="1"/>
    <xf numFmtId="1" fontId="0" fillId="0" borderId="13" xfId="0" applyNumberFormat="1" applyFill="1" applyBorder="1"/>
    <xf numFmtId="1" fontId="0" fillId="0" borderId="33" xfId="0" applyNumberFormat="1" applyFill="1" applyBorder="1"/>
    <xf numFmtId="2" fontId="0" fillId="0" borderId="0" xfId="0" applyNumberFormat="1" applyFill="1" applyBorder="1"/>
    <xf numFmtId="0" fontId="0" fillId="0" borderId="0" xfId="0" applyFill="1"/>
    <xf numFmtId="0" fontId="0" fillId="6" borderId="23" xfId="0" applyFont="1" applyFill="1" applyBorder="1"/>
    <xf numFmtId="0" fontId="0" fillId="6" borderId="16" xfId="0" applyFont="1" applyFill="1" applyBorder="1"/>
    <xf numFmtId="2" fontId="0" fillId="6" borderId="17" xfId="0" applyNumberFormat="1" applyFont="1" applyFill="1" applyBorder="1"/>
    <xf numFmtId="164" fontId="0" fillId="6" borderId="17" xfId="0" applyNumberFormat="1" applyFont="1" applyFill="1" applyBorder="1"/>
    <xf numFmtId="164" fontId="0" fillId="6" borderId="22" xfId="0" applyNumberFormat="1" applyFont="1" applyFill="1" applyBorder="1"/>
    <xf numFmtId="164" fontId="0" fillId="6" borderId="18" xfId="0" applyNumberFormat="1" applyFont="1" applyFill="1" applyBorder="1"/>
    <xf numFmtId="0" fontId="0" fillId="6" borderId="32" xfId="0" applyFont="1" applyFill="1" applyBorder="1"/>
    <xf numFmtId="0" fontId="0" fillId="6" borderId="41" xfId="0" applyFont="1" applyFill="1" applyBorder="1"/>
    <xf numFmtId="2" fontId="0" fillId="6" borderId="25" xfId="0" applyNumberFormat="1" applyFont="1" applyFill="1" applyBorder="1"/>
    <xf numFmtId="164" fontId="0" fillId="6" borderId="25" xfId="0" applyNumberFormat="1" applyFont="1" applyFill="1" applyBorder="1"/>
    <xf numFmtId="164" fontId="0" fillId="6" borderId="33" xfId="0" applyNumberFormat="1" applyFont="1" applyFill="1" applyBorder="1"/>
    <xf numFmtId="164" fontId="0" fillId="6" borderId="42" xfId="0" applyNumberFormat="1" applyFont="1" applyFill="1" applyBorder="1"/>
    <xf numFmtId="0" fontId="16" fillId="15" borderId="1" xfId="0" applyFont="1" applyFill="1" applyBorder="1"/>
    <xf numFmtId="0" fontId="16" fillId="15" borderId="2" xfId="0" applyFont="1" applyFill="1" applyBorder="1"/>
    <xf numFmtId="164" fontId="16" fillId="16" borderId="30" xfId="0" applyNumberFormat="1" applyFont="1" applyFill="1" applyBorder="1"/>
    <xf numFmtId="2" fontId="16" fillId="15" borderId="30" xfId="0" applyNumberFormat="1" applyFont="1" applyFill="1" applyBorder="1"/>
    <xf numFmtId="2" fontId="16" fillId="15" borderId="30" xfId="0" applyNumberFormat="1" applyFont="1" applyFill="1" applyBorder="1" applyAlignment="1"/>
    <xf numFmtId="164" fontId="16" fillId="15" borderId="31" xfId="0" applyNumberFormat="1" applyFont="1" applyFill="1" applyBorder="1"/>
    <xf numFmtId="164" fontId="16" fillId="15" borderId="2" xfId="0" applyNumberFormat="1" applyFont="1" applyFill="1" applyBorder="1"/>
    <xf numFmtId="164" fontId="16" fillId="15" borderId="43" xfId="0" applyNumberFormat="1" applyFont="1" applyFill="1" applyBorder="1"/>
    <xf numFmtId="2" fontId="16" fillId="2" borderId="12" xfId="0" applyNumberFormat="1" applyFont="1" applyFill="1" applyBorder="1"/>
    <xf numFmtId="10" fontId="17" fillId="21" borderId="3" xfId="0" applyNumberFormat="1" applyFont="1" applyFill="1" applyBorder="1" applyAlignment="1"/>
    <xf numFmtId="1" fontId="0" fillId="0" borderId="27" xfId="0" applyNumberFormat="1" applyBorder="1"/>
    <xf numFmtId="1" fontId="2" fillId="22" borderId="28" xfId="0" applyNumberFormat="1" applyFont="1" applyFill="1" applyBorder="1" applyAlignment="1"/>
    <xf numFmtId="1" fontId="0" fillId="0" borderId="44" xfId="0" applyNumberFormat="1" applyBorder="1"/>
    <xf numFmtId="1" fontId="2" fillId="22" borderId="45" xfId="0" applyNumberFormat="1" applyFont="1" applyFill="1" applyBorder="1" applyAlignment="1"/>
    <xf numFmtId="10" fontId="2" fillId="22" borderId="45" xfId="0" applyNumberFormat="1" applyFont="1" applyFill="1" applyBorder="1" applyAlignment="1"/>
    <xf numFmtId="1" fontId="2" fillId="22" borderId="12" xfId="0" applyNumberFormat="1" applyFont="1" applyFill="1" applyBorder="1" applyAlignment="1"/>
    <xf numFmtId="10" fontId="2" fillId="22" borderId="12" xfId="0" applyNumberFormat="1" applyFont="1" applyFill="1" applyBorder="1" applyAlignment="1"/>
    <xf numFmtId="1" fontId="0" fillId="5" borderId="31" xfId="0" applyNumberFormat="1" applyFill="1" applyBorder="1"/>
    <xf numFmtId="1" fontId="0" fillId="0" borderId="36" xfId="0" applyNumberFormat="1" applyFill="1" applyBorder="1"/>
    <xf numFmtId="1" fontId="0" fillId="0" borderId="37" xfId="0" applyNumberFormat="1" applyFill="1" applyBorder="1"/>
    <xf numFmtId="1" fontId="0" fillId="0" borderId="46" xfId="0" applyNumberFormat="1" applyBorder="1"/>
    <xf numFmtId="1" fontId="0" fillId="0" borderId="37" xfId="0" applyNumberFormat="1" applyBorder="1"/>
    <xf numFmtId="1" fontId="0" fillId="5" borderId="39" xfId="0" applyNumberFormat="1" applyFill="1" applyBorder="1"/>
    <xf numFmtId="14" fontId="0" fillId="0" borderId="23" xfId="0" applyNumberFormat="1" applyFill="1" applyBorder="1"/>
    <xf numFmtId="14" fontId="0" fillId="0" borderId="28" xfId="0" applyNumberFormat="1" applyFill="1" applyBorder="1"/>
    <xf numFmtId="14" fontId="0" fillId="0" borderId="45" xfId="0" applyNumberFormat="1" applyBorder="1"/>
    <xf numFmtId="14" fontId="0" fillId="0" borderId="28" xfId="0" applyNumberFormat="1" applyBorder="1"/>
    <xf numFmtId="14" fontId="0" fillId="5" borderId="12" xfId="0" applyNumberFormat="1" applyFill="1" applyBorder="1" applyAlignment="1">
      <alignment horizontal="center"/>
    </xf>
    <xf numFmtId="2" fontId="7" fillId="10" borderId="14" xfId="0" applyNumberFormat="1" applyFont="1" applyFill="1" applyBorder="1"/>
    <xf numFmtId="2" fontId="7" fillId="10" borderId="19" xfId="0" applyNumberFormat="1" applyFont="1" applyFill="1" applyBorder="1"/>
    <xf numFmtId="2" fontId="7" fillId="7" borderId="20" xfId="0" applyNumberFormat="1" applyFont="1" applyFill="1" applyBorder="1"/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585"/>
      <color rgb="FFFF5050"/>
      <color rgb="FFE951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4d7d45b1c8e4c0c8cde567ecbeeb1ee">
      <tp>
        <v>1</v>
        <stp/>
        <stp>b513c3e9-e5e8-4258-9e64-975f7ca0ebf6</stp>
        <tr r="D65" s="6"/>
        <tr r="E103" s="6"/>
        <tr r="A171" s="6"/>
        <tr r="B23" s="6"/>
        <tr r="E96" s="6"/>
        <tr r="B122" s="6"/>
        <tr r="C177" s="6"/>
        <tr r="F188" s="6"/>
        <tr r="B50" s="6"/>
        <tr r="D20" s="6"/>
        <tr r="E105" s="6"/>
        <tr r="A200" s="6"/>
        <tr r="A30" s="6"/>
        <tr r="A97" s="6"/>
        <tr r="B100" s="6"/>
        <tr r="B177" s="6"/>
        <tr r="C50" s="6"/>
        <tr r="F72" s="6"/>
        <tr r="F189" s="6"/>
        <tr r="G195" s="6"/>
        <tr r="D165" s="6"/>
        <tr r="F199" s="6"/>
        <tr r="G188" s="6"/>
        <tr r="F78" s="6"/>
        <tr r="G95" s="6"/>
        <tr r="D56" s="6"/>
        <tr r="F36" s="6"/>
        <tr r="B94" s="6"/>
        <tr r="B22" s="6"/>
        <tr r="A38" s="6"/>
        <tr r="E141" s="6"/>
        <tr r="D143" s="6"/>
        <tr r="G5" s="6"/>
        <tr r="G56" s="6"/>
        <tr r="B42" s="6"/>
        <tr r="A92" s="6"/>
        <tr r="C107" s="6"/>
        <tr r="F26" s="6"/>
        <tr r="B66" s="6"/>
        <tr r="F7" s="6"/>
        <tr r="F87" s="6"/>
        <tr r="D59" s="6"/>
        <tr r="F75" s="6"/>
        <tr r="B175" s="6"/>
        <tr r="C181" s="6"/>
        <tr r="E150" s="6"/>
        <tr r="C41" s="6"/>
        <tr r="A34" s="6"/>
        <tr r="D19" s="6"/>
        <tr r="E128" s="6"/>
        <tr r="A118" s="6"/>
        <tr r="F73" s="6"/>
        <tr r="G59" s="6"/>
        <tr r="D18" s="6"/>
        <tr r="B61" s="6"/>
        <tr r="F132" s="6"/>
        <tr r="A114" s="6"/>
        <tr r="D178" s="6"/>
        <tr r="C117" s="6"/>
        <tr r="A117" s="6"/>
        <tr r="C151" s="6"/>
        <tr r="C160" s="6"/>
        <tr r="B80" s="6"/>
        <tr r="B113" s="6"/>
        <tr r="D172" s="6"/>
        <tr r="E133" s="6"/>
        <tr r="E86" s="6"/>
        <tr r="A16" s="6"/>
        <tr r="D154" s="6"/>
        <tr r="G48" s="6"/>
        <tr r="F97" s="6"/>
        <tr r="A165" s="6"/>
        <tr r="B144" s="6"/>
        <tr r="E99" s="6"/>
        <tr r="C161" s="6"/>
        <tr r="C120" s="6"/>
        <tr r="C196" s="6"/>
        <tr r="F89" s="6"/>
        <tr r="B127" s="6"/>
        <tr r="E91" s="6"/>
        <tr r="E130" s="6"/>
        <tr r="C19" s="6"/>
        <tr r="A49" s="6"/>
        <tr r="E23" s="6"/>
        <tr r="B197" s="6"/>
        <tr r="B189" s="6"/>
        <tr r="G53" s="6"/>
        <tr r="B33" s="6"/>
        <tr r="A183" s="6"/>
        <tr r="C8" s="6"/>
        <tr r="D156" s="6"/>
        <tr r="F115" s="6"/>
        <tr r="A178" s="6"/>
        <tr r="G112" s="6"/>
        <tr r="G115" s="6"/>
        <tr r="E42" s="6"/>
        <tr r="C149" s="6"/>
        <tr r="G139" s="6"/>
        <tr r="B109" s="6"/>
        <tr r="D13" s="6"/>
        <tr r="F101" s="6"/>
        <tr r="A48" s="6"/>
        <tr r="G166" s="6"/>
        <tr r="A197" s="6"/>
        <tr r="C141" s="6"/>
        <tr r="F19" s="6"/>
        <tr r="A111" s="6"/>
        <tr r="C178" s="6"/>
        <tr r="B21" s="6"/>
        <tr r="G168" s="6"/>
        <tr r="D36" s="6"/>
        <tr r="C18" s="6"/>
        <tr r="B90" s="6"/>
        <tr r="D101" s="6"/>
        <tr r="F42" s="6"/>
        <tr r="G6" s="6"/>
        <tr r="D85" s="6"/>
        <tr r="A65" s="6"/>
        <tr r="E2" s="6"/>
        <tr r="C47" s="6"/>
        <tr r="G49" s="6"/>
        <tr r="G69" s="6"/>
        <tr r="C22" s="6"/>
        <tr r="E92" s="6"/>
        <tr r="D81" s="6"/>
        <tr r="C29" s="6"/>
        <tr r="F114" s="6"/>
        <tr r="E171" s="6"/>
        <tr r="B165" s="6"/>
        <tr r="G154" s="6"/>
        <tr r="E162" s="6"/>
        <tr r="D102" s="6"/>
        <tr r="G28" s="6"/>
        <tr r="F145" s="6"/>
        <tr r="G102" s="6"/>
        <tr r="C113" s="6"/>
        <tr r="B161" s="6"/>
        <tr r="B179" s="6"/>
        <tr r="C97" s="6"/>
        <tr r="F144" s="6"/>
        <tr r="E62" s="6"/>
        <tr r="G158" s="6"/>
        <tr r="B140" s="6"/>
        <tr r="F113" s="6"/>
        <tr r="D147" s="6"/>
        <tr r="D152" s="6"/>
        <tr r="D3" s="6"/>
        <tr r="C10" s="6"/>
        <tr r="A90" s="6"/>
        <tr r="E81" s="6"/>
        <tr r="B28" s="6"/>
        <tr r="F125" s="6"/>
        <tr r="F151" s="6"/>
        <tr r="A125" s="6"/>
        <tr r="D73" s="6"/>
        <tr r="F156" s="6"/>
        <tr r="G40" s="6"/>
        <tr r="A75" s="6"/>
        <tr r="C108" s="6"/>
        <tr r="A67" s="6"/>
        <tr r="E3" s="6"/>
        <tr r="A60" s="6"/>
        <tr r="E145" s="6"/>
        <tr r="C190" s="6"/>
        <tr r="B47" s="6"/>
        <tr r="D79" s="6"/>
        <tr r="E175" s="6"/>
        <tr r="F167" s="6"/>
        <tr r="B130" s="6"/>
        <tr r="A84" s="6"/>
        <tr r="F10" s="6"/>
        <tr r="A55" s="6"/>
        <tr r="E114" s="6"/>
        <tr r="G27" s="6"/>
        <tr r="G42" s="6"/>
        <tr r="C115" s="6"/>
        <tr r="C12" s="6"/>
        <tr r="D80" s="6"/>
        <tr r="A23" s="6"/>
        <tr r="F183" s="6"/>
        <tr r="E183" s="6"/>
        <tr r="D109" s="6"/>
        <tr r="B57" s="6"/>
        <tr r="G178" s="6"/>
        <tr r="G200" s="6"/>
        <tr r="A139" s="6"/>
        <tr r="D67" s="6"/>
        <tr r="F172" s="6"/>
        <tr r="B6" s="6"/>
        <tr r="E197" s="6"/>
        <tr r="G50" s="6"/>
        <tr r="B34" s="6"/>
        <tr r="G176" s="6"/>
        <tr r="C125" s="6"/>
        <tr r="F3" s="6"/>
        <tr r="E48" s="6"/>
        <tr r="E10" s="6"/>
        <tr r="B178" s="6"/>
        <tr r="E132" s="6"/>
        <tr r="G123" s="6"/>
        <tr r="B43" s="6"/>
        <tr r="G30" s="6"/>
        <tr r="D103" s="6"/>
        <tr r="D149" s="6"/>
        <tr r="A102" s="6"/>
        <tr r="C101" s="6"/>
        <tr r="E180" s="6"/>
        <tr r="G163" s="6"/>
        <tr r="B17" s="6"/>
        <tr r="E11" s="6"/>
        <tr r="C92" s="6"/>
        <tr r="A76" s="6"/>
        <tr r="F94" s="6"/>
        <tr r="C80" s="6"/>
        <tr r="B183" s="6"/>
        <tr r="D17" s="6"/>
        <tr r="G172" s="6"/>
        <tr r="C100" s="6"/>
        <tr r="G2" s="6"/>
        <tr r="E77" s="6"/>
        <tr r="F159" s="6"/>
        <tr r="E182" s="6"/>
        <tr r="C154" s="6"/>
        <tr r="F83" s="6"/>
        <tr r="G36" s="6"/>
        <tr r="A176" s="6"/>
        <tr r="A74" s="6"/>
        <tr r="E97" s="6"/>
        <tr r="G114" s="6"/>
        <tr r="C38" s="6"/>
        <tr r="E144" s="6"/>
        <tr r="D29" s="6"/>
        <tr r="D141" s="6"/>
        <tr r="E68" s="6"/>
        <tr r="G185" s="6"/>
        <tr r="G126" s="6"/>
        <tr r="F184" s="6"/>
        <tr r="G121" s="6"/>
        <tr r="B26" s="6"/>
        <tr r="G127" s="6"/>
        <tr r="E106" s="6"/>
        <tr r="B190" s="6"/>
        <tr r="D123" s="6"/>
        <tr r="E61" s="6"/>
        <tr r="E194" s="6"/>
        <tr r="A155" s="6"/>
        <tr r="C70" s="6"/>
        <tr r="F40" s="6"/>
        <tr r="D25" s="6"/>
        <tr r="B120" s="6"/>
        <tr r="D131" s="6"/>
        <tr r="B45" s="6"/>
        <tr r="B123" s="6"/>
        <tr r="C147" s="6"/>
        <tr r="B200" s="6"/>
        <tr r="F58" s="6"/>
        <tr r="D83" s="6"/>
        <tr r="B58" s="6"/>
        <tr r="A108" s="6"/>
        <tr r="B159" s="6"/>
        <tr r="E131" s="6"/>
        <tr r="E102" s="6"/>
        <tr r="G100" s="6"/>
        <tr r="D175" s="6"/>
        <tr r="A143" s="6"/>
        <tr r="G8" s="6"/>
        <tr r="G74" s="6"/>
        <tr r="G14" s="6"/>
        <tr r="D16" s="6"/>
        <tr r="D115" s="6"/>
        <tr r="E37" s="6"/>
        <tr r="E94" s="6"/>
        <tr r="F27" s="6"/>
        <tr r="A13" s="6"/>
        <tr r="C131" s="6"/>
        <tr r="B118" s="6"/>
        <tr r="E82" s="6"/>
        <tr r="F187" s="6"/>
        <tr r="D12" s="6"/>
        <tr r="B83" s="6"/>
        <tr r="B68" s="6"/>
        <tr r="D104" s="6"/>
        <tr r="F99" s="6"/>
        <tr r="C57" s="6"/>
        <tr r="A68" s="6"/>
        <tr r="F196" s="6"/>
        <tr r="D192" s="6"/>
        <tr r="B162" s="6"/>
        <tr r="G103" s="6"/>
        <tr r="E76" s="6"/>
        <tr r="C52" s="6"/>
        <tr r="D34" s="6"/>
        <tr r="E13" s="6"/>
        <tr r="D145" s="6"/>
        <tr r="G160" s="6"/>
        <tr r="D62" s="6"/>
        <tr r="C167" s="6"/>
        <tr r="G137" s="6"/>
        <tr r="B101" s="6"/>
        <tr r="E12" s="6"/>
        <tr r="G12" s="6"/>
        <tr r="C163" s="6"/>
        <tr r="A144" s="6"/>
        <tr r="B133" s="6"/>
        <tr r="F163" s="6"/>
        <tr r="B160" s="6"/>
        <tr r="E154" s="6"/>
        <tr r="A196" s="6"/>
        <tr r="E60" s="6"/>
        <tr r="F152" s="6"/>
        <tr r="B62" s="6"/>
        <tr r="G145" s="6"/>
        <tr r="F149" s="6"/>
        <tr r="D122" s="6"/>
        <tr r="G75" s="6"/>
        <tr r="F35" s="6"/>
        <tr r="B3" s="6"/>
        <tr r="E101" s="6"/>
        <tr r="B49" s="6"/>
        <tr r="G198" s="6"/>
        <tr r="F164" s="6"/>
        <tr r="F66" s="6"/>
        <tr r="C137" s="6"/>
        <tr r="B193" s="6"/>
        <tr r="D169" s="6"/>
        <tr r="E158" s="6"/>
        <tr r="A29" s="6"/>
        <tr r="F13" s="6"/>
        <tr r="D28" s="6"/>
        <tr r="G77" s="6"/>
        <tr r="G135" s="6"/>
        <tr r="D166" s="6"/>
        <tr r="A188" s="6"/>
        <tr r="D64" s="6"/>
        <tr r="C158" s="6"/>
        <tr r="F70" s="6"/>
        <tr r="A142" s="6"/>
        <tr r="D60" s="6"/>
        <tr r="F154" s="6"/>
        <tr r="D91" s="6"/>
        <tr r="F65" s="6"/>
        <tr r="F63" s="6"/>
        <tr r="B153" s="6"/>
        <tr r="G63" s="6"/>
        <tr r="C75" s="6"/>
        <tr r="B9" s="6"/>
        <tr r="B168" s="6"/>
        <tr r="C14" s="6"/>
        <tr r="F68" s="6"/>
        <tr r="C33" s="6"/>
        <tr r="F200" s="6"/>
        <tr r="D142" s="6"/>
        <tr r="B44" s="6"/>
        <tr r="C94" s="6"/>
        <tr r="D110" s="6"/>
        <tr r="G125" s="6"/>
        <tr r="D125" s="6"/>
        <tr r="E4" s="6"/>
        <tr r="C186" s="6"/>
        <tr r="F39" s="6"/>
        <tr r="G3" s="6"/>
        <tr r="E181" s="6"/>
        <tr r="E153" s="6"/>
        <tr r="D158" s="6"/>
        <tr r="A17" s="6"/>
        <tr r="D61" s="6"/>
        <tr r="C183" s="6"/>
        <tr r="B111" s="6"/>
        <tr r="A185" s="6"/>
        <tr r="E22" s="6"/>
        <tr r="G184" s="6"/>
        <tr r="D72" s="6"/>
        <tr r="E34" s="6"/>
        <tr r="C110" s="6"/>
        <tr r="G107" s="6"/>
        <tr r="F122" s="6"/>
        <tr r="C139" s="6"/>
        <tr r="D133" s="6"/>
        <tr r="D151" s="6"/>
        <tr r="D157" s="6"/>
        <tr r="B93" s="6"/>
        <tr r="G70" s="6"/>
        <tr r="B32" s="6"/>
        <tr r="A115" s="6"/>
        <tr r="G61" s="6"/>
        <tr r="E193" s="6"/>
        <tr r="C95" s="6"/>
        <tr r="E135" s="6"/>
        <tr r="F55" s="6"/>
        <tr r="F62" s="6"/>
        <tr r="C200" s="6"/>
        <tr r="D137" s="6"/>
        <tr r="C198" s="6"/>
        <tr r="E168" s="6"/>
        <tr r="D126" s="6"/>
        <tr r="B184" s="6"/>
        <tr r="C89" s="6"/>
        <tr r="C195" s="6"/>
        <tr r="G187" s="6"/>
        <tr r="C62" s="6"/>
        <tr r="E178" s="6"/>
        <tr r="E116" s="6"/>
        <tr r="D129" s="6"/>
        <tr r="G7" s="6"/>
        <tr r="G78" s="6"/>
        <tr r="A73" s="6"/>
        <tr r="G174" s="6"/>
        <tr r="E24" s="6"/>
        <tr r="A154" s="6"/>
        <tr r="E28" s="6"/>
        <tr r="C164" s="6"/>
        <tr r="D128" s="6"/>
        <tr r="C191" s="6"/>
        <tr r="E134" s="6"/>
        <tr r="C153" s="6"/>
        <tr r="G31" s="6"/>
        <tr r="D161" s="6"/>
        <tr r="F67" s="6"/>
        <tr r="D198" s="6"/>
        <tr r="B72" s="6"/>
        <tr r="D124" s="6"/>
        <tr r="E110" s="6"/>
        <tr r="F129" s="6"/>
        <tr r="B18" s="6"/>
        <tr r="C188" s="6"/>
        <tr r="C169" s="6"/>
        <tr r="E113" s="6"/>
        <tr r="F140" s="6"/>
        <tr r="G58" s="6"/>
        <tr r="C143" s="6"/>
        <tr r="D134" s="6"/>
        <tr r="C72" s="6"/>
        <tr r="A107" s="6"/>
        <tr r="A187" s="6"/>
        <tr r="G148" s="6"/>
        <tr r="E142" s="6"/>
        <tr r="B105" s="6"/>
        <tr r="E107" s="6"/>
        <tr r="E21" s="6"/>
        <tr r="G193" s="6"/>
        <tr r="B87" s="6"/>
        <tr r="A28" s="6"/>
        <tr r="C53" s="6"/>
        <tr r="A189" s="6"/>
        <tr r="G190" s="6"/>
        <tr r="B156" s="6"/>
        <tr r="F64" s="6"/>
        <tr r="A41" s="6"/>
        <tr r="B185" s="6"/>
        <tr r="B150" s="6"/>
        <tr r="D170" s="6"/>
        <tr r="B112" s="6"/>
        <tr r="F50" s="6"/>
        <tr r="B95" s="6"/>
        <tr r="D49" s="6"/>
        <tr r="F158" s="6"/>
        <tr r="E186" s="6"/>
        <tr r="A120" s="6"/>
        <tr r="D70" s="6"/>
        <tr r="D184" s="6"/>
        <tr r="C128" s="6"/>
        <tr r="F37" s="6"/>
        <tr r="F191" s="6"/>
        <tr r="D37" s="6"/>
        <tr r="A63" s="6"/>
        <tr r="B199" s="6"/>
        <tr r="E67" s="6"/>
        <tr r="E58" s="6"/>
        <tr r="A162" s="6"/>
        <tr r="A168" s="6"/>
        <tr r="D186" s="6"/>
        <tr r="C93" s="6"/>
        <tr r="C135" s="6"/>
        <tr r="D105" s="6"/>
        <tr r="E78" s="6"/>
        <tr r="D107" s="6"/>
        <tr r="B59" s="6"/>
        <tr r="F136" s="6"/>
        <tr r="F193" s="6"/>
        <tr r="C46" s="6"/>
        <tr r="D132" s="6"/>
        <tr r="F137" s="6"/>
        <tr r="B107" s="6"/>
        <tr r="A3" s="6"/>
        <tr r="A58" s="6"/>
        <tr r="B35" s="6"/>
        <tr r="A149" s="6"/>
        <tr r="G13" s="6"/>
        <tr r="C144" s="6"/>
        <tr r="G109" s="6"/>
        <tr r="C24" s="6"/>
        <tr r="D77" s="6"/>
        <tr r="B89" s="6"/>
        <tr r="A54" s="6"/>
        <tr r="F20" s="6"/>
        <tr r="F176" s="6"/>
        <tr r="C189" s="6"/>
        <tr r="D174" s="6"/>
        <tr r="E63" s="6"/>
        <tr r="C126" s="6"/>
        <tr r="E118" s="6"/>
        <tr r="E121" s="6"/>
        <tr r="A22" s="6"/>
        <tr r="A46" s="6"/>
        <tr r="F174" s="6"/>
        <tr r="C83" s="6"/>
        <tr r="G173" s="6"/>
        <tr r="A190" s="6"/>
        <tr r="E90" s="6"/>
        <tr r="F139" s="6"/>
        <tr r="C148" s="6"/>
        <tr r="B76" s="6"/>
        <tr r="D26" s="6"/>
        <tr r="A50" s="6"/>
        <tr r="A130" s="6"/>
        <tr r="C192" s="6"/>
        <tr r="E16" s="6"/>
        <tr r="D176" s="6"/>
        <tr r="C68" s="6"/>
        <tr r="E36" s="6"/>
        <tr r="A161" s="6"/>
        <tr r="E87" s="6"/>
        <tr r="D190" s="6"/>
        <tr r="A14" s="6"/>
        <tr r="B192" s="6"/>
        <tr r="C35" s="6"/>
        <tr r="E27" s="6"/>
        <tr r="B124" s="6"/>
        <tr r="A11" s="6"/>
        <tr r="E71" s="6"/>
        <tr r="C66" s="6"/>
        <tr r="F23" s="6"/>
        <tr r="D181" s="6"/>
        <tr r="C82" s="6"/>
        <tr r="E139" s="6"/>
        <tr r="D117" s="6"/>
        <tr r="F166" s="6"/>
        <tr r="B170" s="6"/>
        <tr r="G34" s="6"/>
        <tr r="C4" s="6"/>
        <tr r="B134" s="6"/>
        <tr r="C69" s="6"/>
        <tr r="D180" s="6"/>
        <tr r="B63" s="6"/>
        <tr r="D179" s="6"/>
        <tr r="F5" s="6"/>
        <tr r="G164" s="6"/>
        <tr r="B135" s="6"/>
        <tr r="F104" s="6"/>
        <tr r="G52" s="6"/>
        <tr r="B91" s="6"/>
        <tr r="B139" s="6"/>
        <tr r="B81" s="6"/>
        <tr r="B20" s="6"/>
        <tr r="F106" s="6"/>
        <tr r="G67" s="6"/>
        <tr r="A169" s="6"/>
        <tr r="C109" s="6"/>
        <tr r="C124" s="6"/>
        <tr r="E5" s="6"/>
        <tr r="B31" s="6"/>
        <tr r="E179" s="6"/>
        <tr r="G44" s="6"/>
        <tr r="A51" s="6"/>
        <tr r="B55" s="6"/>
        <tr r="D167" s="6"/>
        <tr r="C129" s="6"/>
        <tr r="C122" s="6"/>
        <tr r="A61" s="6"/>
        <tr r="C76" s="6"/>
        <tr r="D90" s="6"/>
        <tr r="F69" s="6"/>
        <tr r="B38" s="6"/>
        <tr r="G45" s="6"/>
        <tr r="F28" s="6"/>
        <tr r="A173" s="6"/>
        <tr r="A145" s="6"/>
        <tr r="G37" s="6"/>
        <tr r="B4" s="6"/>
        <tr r="F53" s="6"/>
        <tr r="B36" s="6"/>
        <tr r="A113" s="6"/>
        <tr r="E163" s="6"/>
        <tr r="D94" s="6"/>
        <tr r="B69" s="6"/>
        <tr r="D58" s="6"/>
        <tr r="E51" s="6"/>
        <tr r="B99" s="6"/>
        <tr r="A166" s="6"/>
        <tr r="D88" s="6"/>
        <tr r="F180" s="6"/>
        <tr r="E188" s="6"/>
        <tr r="E155" s="6"/>
        <tr r="A10" s="6"/>
        <tr r="G181" s="6"/>
        <tr r="D45" s="6"/>
        <tr r="C180" s="6"/>
        <tr r="C102" s="6"/>
        <tr r="C49" s="6"/>
        <tr r="C55" s="6"/>
        <tr r="E196" s="6"/>
        <tr r="A150" s="6"/>
        <tr r="C78" s="6"/>
        <tr r="F48" s="6"/>
        <tr r="D71" s="6"/>
        <tr r="C106" s="6"/>
        <tr r="F14" s="6"/>
        <tr r="D153" s="6"/>
        <tr r="F190" s="6"/>
        <tr r="G54" s="6"/>
        <tr r="B149" s="6"/>
        <tr r="B41" s="6"/>
        <tr r="G150" s="6"/>
        <tr r="B85" s="6"/>
        <tr r="F134" s="6"/>
        <tr r="A194" s="6"/>
        <tr r="B29" s="6"/>
        <tr r="G43" s="6"/>
        <tr r="E40" s="6"/>
        <tr r="D120" s="6"/>
        <tr r="D66" s="6"/>
        <tr r="C31" s="6"/>
        <tr r="F82" s="6"/>
        <tr r="A26" s="6"/>
        <tr r="C111" s="6"/>
        <tr r="G24" s="6"/>
        <tr r="E117" s="6"/>
        <tr r="F170" s="6"/>
        <tr r="B14" s="6"/>
        <tr r="E20" s="6"/>
        <tr r="B84" s="6"/>
        <tr r="A148" s="6"/>
        <tr r="G106" s="6"/>
        <tr r="G113" s="6"/>
        <tr r="D32" s="6"/>
        <tr r="B73" s="6"/>
        <tr r="F77" s="6"/>
        <tr r="B115" s="6"/>
        <tr r="E26" s="6"/>
        <tr r="E93" s="6"/>
        <tr r="A157" s="6"/>
        <tr r="F110" s="6"/>
        <tr r="D140" s="6"/>
        <tr r="G4" s="6"/>
        <tr r="B40" s="6"/>
        <tr r="A122" s="6"/>
        <tr r="B103" s="6"/>
        <tr r="A94" s="6"/>
        <tr r="F96" s="6"/>
        <tr r="G122" s="6"/>
        <tr r="C2" s="6"/>
        <tr r="E41" s="6"/>
        <tr r="C54" s="6"/>
        <tr r="B174" s="6"/>
        <tr r="F147" s="6"/>
        <tr r="G177" s="6"/>
        <tr r="F90" s="6"/>
        <tr r="G117" s="6"/>
        <tr r="A119" s="6"/>
        <tr r="G21" s="6"/>
        <tr r="A199" s="6"/>
        <tr r="A37" s="6"/>
        <tr r="F74" s="6"/>
        <tr r="G38" s="6"/>
        <tr r="G92" s="6"/>
        <tr r="G169" s="6"/>
        <tr r="G35" s="6"/>
        <tr r="A91" s="6"/>
        <tr r="B129" s="6"/>
        <tr r="A32" s="6"/>
        <tr r="C40" s="6"/>
        <tr r="D44" s="6"/>
        <tr r="E146" s="6"/>
        <tr r="B88" s="6"/>
        <tr r="D100" s="6"/>
        <tr r="B102" s="6"/>
        <tr r="E38" s="6"/>
        <tr r="C30" s="6"/>
        <tr r="B147" s="6"/>
        <tr r="G76" s="6"/>
        <tr r="E172" s="6"/>
        <tr r="E43" s="6"/>
        <tr r="C133" s="6"/>
        <tr r="G192" s="6"/>
        <tr r="G130" s="6"/>
        <tr r="C90" s="6"/>
        <tr r="E109" s="6"/>
        <tr r="F30" s="6"/>
        <tr r="A140" s="6"/>
        <tr r="G134" s="6"/>
        <tr r="E115" s="6"/>
        <tr r="E184" s="6"/>
        <tr r="G165" s="6"/>
        <tr r="B188" s="6"/>
        <tr r="D6" s="6"/>
        <tr r="D22" s="6"/>
        <tr r="G73" s="6"/>
        <tr r="B37" s="6"/>
        <tr r="D31" s="6"/>
        <tr r="B53" s="6"/>
        <tr r="D197" s="6"/>
        <tr r="G11" s="6"/>
        <tr r="E185" s="6"/>
        <tr r="E127" s="6"/>
        <tr r="B16" s="6"/>
        <tr r="C194" s="6"/>
        <tr r="F52" s="6"/>
        <tr r="F12" s="6"/>
        <tr r="E70" s="6"/>
        <tr r="A66" s="6"/>
        <tr r="B182" s="6"/>
        <tr r="G99" s="6"/>
        <tr r="B96" s="6"/>
        <tr r="F6" s="6"/>
        <tr r="G15" s="6"/>
        <tr r="E66" s="6"/>
        <tr r="E35" s="6"/>
        <tr r="A89" s="6"/>
        <tr r="C61" s="6"/>
        <tr r="D86" s="6"/>
        <tr r="B176" s="6"/>
        <tr r="C15" s="6"/>
        <tr r="F102" s="6"/>
        <tr r="E74" s="6"/>
        <tr r="C71" s="6"/>
        <tr r="G89" s="6"/>
        <tr r="E75" s="6"/>
        <tr r="F18" s="6"/>
        <tr r="A159" s="6"/>
        <tr r="G189" s="6"/>
        <tr r="G22" s="6"/>
        <tr r="G101" s="6"/>
        <tr r="G110" s="6"/>
        <tr r="F33" s="6"/>
        <tr r="C32" s="6"/>
        <tr r="E88" s="6"/>
        <tr r="A121" s="6"/>
        <tr r="A195" s="6"/>
        <tr r="D150" s="6"/>
        <tr r="A131" s="6"/>
        <tr r="B186" s="6"/>
        <tr r="C105" s="6"/>
        <tr r="A95" s="6"/>
        <tr r="B128" s="6"/>
        <tr r="A193" s="6"/>
        <tr r="E125" s="6"/>
        <tr r="E6" s="6"/>
        <tr r="E83" s="6"/>
        <tr r="B166" s="6"/>
        <tr r="C7" s="6"/>
        <tr r="C156" s="6"/>
        <tr r="F2" s="6"/>
        <tr r="C58" s="6"/>
        <tr r="C16" s="6"/>
        <tr r="F45" s="6"/>
        <tr r="B151" s="6"/>
        <tr r="E166" s="6"/>
        <tr r="A151" s="6"/>
        <tr r="C5" s="6"/>
        <tr r="A156" s="6"/>
        <tr r="E108" s="6"/>
        <tr r="G72" s="6"/>
        <tr r="E149" s="6"/>
        <tr r="F57" s="6"/>
        <tr r="F126" s="6"/>
        <tr r="D98" s="6"/>
        <tr r="F177" s="6"/>
        <tr r="B119" s="6"/>
        <tr r="B137" s="6"/>
        <tr r="A177" s="6"/>
        <tr r="D196" s="6"/>
        <tr r="A184" s="6"/>
        <tr r="A71" s="6"/>
        <tr r="D144" s="6"/>
        <tr r="G197" s="6"/>
        <tr r="G199" s="6"/>
        <tr r="A158" s="6"/>
        <tr r="F4" s="6"/>
        <tr r="B126" s="6"/>
        <tr r="A103" s="6"/>
        <tr r="G144" s="6"/>
        <tr r="E69" s="6"/>
        <tr r="A170" s="6"/>
        <tr r="D199" s="6"/>
        <tr r="D113" s="6"/>
        <tr r="C34" s="6"/>
        <tr r="D119" s="6"/>
        <tr r="D14" s="6"/>
        <tr r="B64" s="6"/>
        <tr r="C60" s="6"/>
        <tr r="D52" s="6"/>
        <tr r="B51" s="6"/>
        <tr r="F143" s="6"/>
        <tr r="E176" s="6"/>
        <tr r="G64" s="6"/>
        <tr r="G104" s="6"/>
        <tr r="G175" s="6"/>
        <tr r="C98" s="6"/>
        <tr r="E173" s="6"/>
        <tr r="D95" s="6"/>
        <tr r="G155" s="6"/>
        <tr r="G194" s="6"/>
        <tr r="G196" s="6"/>
        <tr r="B11" s="6"/>
        <tr r="E49" s="6"/>
        <tr r="A9" s="6"/>
        <tr r="B196" s="6"/>
        <tr r="G91" s="6"/>
        <tr r="E151" s="6"/>
        <tr r="G39" s="6"/>
        <tr r="B24" s="6"/>
        <tr r="A69" s="6"/>
        <tr r="B167" s="6"/>
        <tr r="D191" s="6"/>
        <tr r="D38" s="6"/>
        <tr r="E44" s="6"/>
        <tr r="G71" s="6"/>
        <tr r="F138" s="6"/>
        <tr r="D24" s="6"/>
        <tr r="A82" s="6"/>
        <tr r="D78" s="6"/>
        <tr r="E7" s="6"/>
        <tr r="B98" s="6"/>
        <tr r="G23" s="6"/>
        <tr r="C134" s="6"/>
        <tr r="A2" s="6"/>
        <tr r="E18" s="6"/>
        <tr r="D136" s="6"/>
        <tr r="D76" s="6"/>
        <tr r="F118" s="6"/>
        <tr r="G146" s="6"/>
        <tr r="E140" s="6"/>
        <tr r="C155" s="6"/>
        <tr r="C48" s="6"/>
        <tr r="B146" s="6"/>
        <tr r="A137" s="6"/>
        <tr r="G120" s="6"/>
        <tr r="C28" s="6"/>
        <tr r="C25" s="6"/>
        <tr r="F107" s="6"/>
        <tr r="D69" s="6"/>
        <tr r="A39" s="6"/>
        <tr r="F17" s="6"/>
        <tr r="E52" s="6"/>
        <tr r="B171" s="6"/>
        <tr r="E29" s="6"/>
        <tr r="E129" s="6"/>
        <tr r="A7" s="6"/>
        <tr r="B194" s="6"/>
        <tr r="B131" s="6"/>
        <tr r="B12" s="6"/>
        <tr r="E126" s="6"/>
        <tr r="D188" s="6"/>
        <tr r="D63" s="6"/>
        <tr r="C152" s="6"/>
        <tr r="B143" s="6"/>
        <tr r="E55" s="6"/>
        <tr r="D185" s="6"/>
        <tr r="F153" s="6"/>
        <tr r="G66" s="6"/>
        <tr r="C43" s="6"/>
        <tr r="B30" s="6"/>
        <tr r="G62" s="6"/>
        <tr r="D48" s="6"/>
        <tr r="A40" s="6"/>
        <tr r="A152" s="6"/>
        <tr r="B164" s="6"/>
        <tr r="C96" s="6"/>
        <tr r="D111" s="6"/>
        <tr r="D127" s="6"/>
        <tr r="D84" s="6"/>
        <tr r="B180" s="6"/>
        <tr r="F16" s="6"/>
        <tr r="G111" s="6"/>
        <tr r="E8" s="6"/>
        <tr r="G162" s="6"/>
        <tr r="A27" s="6"/>
        <tr r="F59" s="6"/>
        <tr r="E80" s="6"/>
        <tr r="C162" s="6"/>
        <tr r="B104" s="6"/>
        <tr r="D194" s="6"/>
        <tr r="A70" s="6"/>
        <tr r="A45" s="6"/>
        <tr r="D68" s="6"/>
        <tr r="E33" s="6"/>
        <tr r="F81" s="6"/>
        <tr r="C44" s="6"/>
        <tr r="A110" s="6"/>
        <tr r="A62" s="6"/>
        <tr r="G159" s="6"/>
        <tr r="D183" s="6"/>
        <tr r="E190" s="6"/>
        <tr r="D43" s="6"/>
        <tr r="E161" s="6"/>
        <tr r="A160" s="6"/>
        <tr r="F133" s="6"/>
        <tr r="E72" s="6"/>
        <tr r="A105" s="6"/>
        <tr r="E147" s="6"/>
        <tr r="C127" s="6"/>
        <tr r="F194" s="6"/>
        <tr r="C166" s="6"/>
        <tr r="G180" s="6"/>
        <tr r="G171" s="6"/>
        <tr r="D74" s="6"/>
        <tr r="A33" s="6"/>
        <tr r="C159" s="6"/>
        <tr r="A20" s="6"/>
        <tr r="B187" s="6"/>
        <tr r="A127" s="6"/>
        <tr r="A43" s="6"/>
        <tr r="A5" s="6"/>
        <tr r="A191" s="6"/>
        <tr r="B152" s="6"/>
        <tr r="F91" s="6"/>
        <tr r="E122" s="6"/>
        <tr r="B106" s="6"/>
        <tr r="B79" s="6"/>
        <tr r="F31" s="6"/>
        <tr r="G18" s="6"/>
        <tr r="G84" s="6"/>
        <tr r="A35" s="6"/>
        <tr r="D5" s="6"/>
        <tr r="F32" s="6"/>
        <tr r="E32" s="6"/>
        <tr r="F160" s="6"/>
        <tr r="C103" s="6"/>
        <tr r="F71" s="6"/>
        <tr r="B145" s="6"/>
        <tr r="F98" s="6"/>
        <tr r="G93" s="6"/>
        <tr r="F22" s="6"/>
        <tr r="E137" s="6"/>
        <tr r="C17" s="6"/>
        <tr r="A141" s="6"/>
        <tr r="G17" s="6"/>
        <tr r="B117" s="6"/>
        <tr r="C91" s="6"/>
        <tr r="A59" s="6"/>
        <tr r="E64" s="6"/>
        <tr r="E89" s="6"/>
        <tr r="E119" s="6"/>
        <tr r="E57" s="6"/>
        <tr r="C174" s="6"/>
        <tr r="A182" s="6"/>
        <tr r="D135" s="6"/>
        <tr r="E100" s="6"/>
        <tr r="G68" s="6"/>
        <tr r="C150" s="6"/>
        <tr r="D108" s="6"/>
        <tr r="B5" s="6"/>
        <tr r="D189" s="6"/>
        <tr r="B191" s="6"/>
        <tr r="B155" s="6"/>
        <tr r="A126" s="6"/>
        <tr r="E157" s="6"/>
        <tr r="E17" s="6"/>
        <tr r="E59" s="6"/>
        <tr r="C146" s="6"/>
        <tr r="E198" s="6"/>
        <tr r="F168" s="6"/>
        <tr r="C182" s="6"/>
        <tr r="A36" s="6"/>
        <tr r="D30" s="6"/>
        <tr r="F124" s="6"/>
        <tr r="A25" s="6"/>
        <tr r="B141" s="6"/>
        <tr r="C39" s="6"/>
        <tr r="F155" s="6"/>
        <tr r="D146" s="6"/>
        <tr r="D54" s="6"/>
        <tr r="F131" s="6"/>
        <tr r="A179" s="6"/>
        <tr r="A163" s="6"/>
        <tr r="F181" s="6"/>
        <tr r="C112" s="6"/>
        <tr r="F95" s="6"/>
        <tr r="A6" s="6"/>
        <tr r="G16" s="6"/>
        <tr r="G29" s="6"/>
        <tr r="A135" s="6"/>
        <tr r="E30" s="6"/>
        <tr r="B39" s="6"/>
        <tr r="B108" s="6"/>
        <tr r="G55" s="6"/>
        <tr r="F161" s="6"/>
        <tr r="F56" s="6"/>
        <tr r="F186" s="6"/>
        <tr r="F93" s="6"/>
        <tr r="C73" s="6"/>
        <tr r="A198" s="6"/>
        <tr r="D177" s="6"/>
        <tr r="F146" s="6"/>
        <tr r="B65" s="6"/>
        <tr r="F34" s="6"/>
        <tr r="A44" s="6"/>
        <tr r="C185" s="6"/>
        <tr r="D139" s="6"/>
        <tr r="A104" s="6"/>
        <tr r="A93" s="6"/>
        <tr r="G142" s="6"/>
        <tr r="G82" s="6"/>
        <tr r="E187" s="6"/>
        <tr r="A136" s="6"/>
        <tr r="A21" s="6"/>
        <tr r="F51" s="6"/>
        <tr r="G10" s="6"/>
        <tr r="D200" s="6"/>
        <tr r="E95" s="6"/>
        <tr r="A12" s="6"/>
        <tr r="A172" s="6"/>
        <tr r="A138" s="6"/>
        <tr r="C138" s="6"/>
        <tr r="F173" s="6"/>
        <tr r="F11" s="6"/>
        <tr r="B116" s="6"/>
        <tr r="A53" s="6"/>
        <tr r="C121" s="6"/>
        <tr r="D96" s="6"/>
        <tr r="F130" s="6"/>
        <tr r="E19" s="6"/>
        <tr r="C118" s="6"/>
        <tr r="G157" s="6"/>
        <tr r="F54" s="6"/>
        <tr r="A83" s="6"/>
        <tr r="C172" s="6"/>
        <tr r="C56" s="6"/>
        <tr r="A64" s="6"/>
        <tr r="B7" s="6"/>
        <tr r="G191" s="6"/>
        <tr r="C79" s="6"/>
        <tr r="G83" s="6"/>
        <tr r="A78" s="6"/>
        <tr r="C6" s="6"/>
        <tr r="B10" s="6"/>
        <tr r="A87" s="6"/>
        <tr r="A128" s="6"/>
        <tr r="A106" s="6"/>
        <tr r="E120" s="6"/>
        <tr r="A15" s="6"/>
        <tr r="A85" s="6"/>
        <tr r="D75" s="6"/>
        <tr r="F119" s="6"/>
        <tr r="C37" s="6"/>
        <tr r="A124" s="6"/>
        <tr r="G182" s="6"/>
        <tr r="E65" s="6"/>
        <tr r="D116" s="6"/>
        <tr r="C130" s="6"/>
        <tr r="E138" s="6"/>
        <tr r="A24" s="6"/>
        <tr r="F80" s="6"/>
        <tr r="D173" s="6"/>
        <tr r="A88" s="6"/>
        <tr r="C197" s="6"/>
        <tr r="F105" s="6"/>
        <tr r="F117" s="6"/>
        <tr r="F84" s="6"/>
        <tr r="A72" s="6"/>
        <tr r="F169" s="6"/>
        <tr r="A101" s="6"/>
        <tr r="A147" s="6"/>
        <tr r="C20" s="6"/>
        <tr r="A153" s="6"/>
        <tr r="D11" s="6"/>
        <tr r="D182" s="6"/>
        <tr r="B148" s="6"/>
        <tr r="F9" s="6"/>
        <tr r="C64" s="6"/>
        <tr r="C23" s="6"/>
        <tr r="F121" s="6"/>
        <tr r="B121" s="6"/>
        <tr r="F109" s="6"/>
        <tr r="C123" s="6"/>
        <tr r="G170" s="6"/>
        <tr r="F120" s="6"/>
        <tr r="E45" s="6"/>
        <tr r="B60" s="6"/>
        <tr r="A52" s="6"/>
        <tr r="G132" s="6"/>
        <tr r="C85" s="6"/>
        <tr r="C165" s="6"/>
        <tr r="C9" s="6"/>
        <tr r="F197" s="6"/>
        <tr r="F142" s="6"/>
        <tr r="G167" s="6"/>
        <tr r="F198" s="6"/>
        <tr r="D57" s="6"/>
        <tr r="D4" s="6"/>
        <tr r="F79" s="6"/>
        <tr r="G79" s="6"/>
        <tr r="D23" s="6"/>
        <tr r="G143" s="6"/>
        <tr r="B172" s="6"/>
        <tr r="F162" s="6"/>
        <tr r="E98" s="6"/>
        <tr r="B157" s="6"/>
        <tr r="F157" s="6"/>
        <tr r="D7" s="6"/>
        <tr r="A180" s="6"/>
        <tr r="A86" s="6"/>
        <tr r="A42" s="6"/>
        <tr r="F111" s="6"/>
        <tr r="D163" s="6"/>
        <tr r="D9" s="6"/>
        <tr r="G19" s="6"/>
        <tr r="D106" s="6"/>
        <tr r="E79" s="6"/>
        <tr r="E152" s="6"/>
        <tr r="F165" s="6"/>
        <tr r="A81" s="6"/>
        <tr r="B19" s="6"/>
        <tr r="F185" s="6"/>
        <tr r="D93" s="6"/>
        <tr r="G94" s="6"/>
        <tr r="B97" s="6"/>
        <tr r="C179" s="6"/>
        <tr r="G118" s="6"/>
        <tr r="C173" s="6"/>
        <tr r="A192" s="6"/>
        <tr r="F88" s="6"/>
        <tr r="E53" s="6"/>
        <tr r="F43" s="6"/>
        <tr r="A8" s="6"/>
        <tr r="B198" s="6"/>
        <tr r="A109" s="6"/>
        <tr r="E164" s="6"/>
        <tr r="E46" s="6"/>
        <tr r="G138" s="6"/>
        <tr r="G147" s="6"/>
        <tr r="D42" s="6"/>
        <tr r="D160" s="6"/>
        <tr r="B136" s="6"/>
        <tr r="F76" s="6"/>
        <tr r="C99" s="6"/>
        <tr r="G151" s="6"/>
        <tr r="B56" s="6"/>
        <tr r="E156" s="6"/>
        <tr r="E143" s="6"/>
        <tr r="C171" s="6"/>
        <tr r="D92" s="6"/>
        <tr r="F8" s="6"/>
        <tr r="G131" s="6"/>
        <tr r="D164" s="6"/>
        <tr r="D171" s="6"/>
        <tr r="B138" s="6"/>
        <tr r="D118" s="6"/>
        <tr r="D8" s="6"/>
        <tr r="G65" s="6"/>
        <tr r="C36" s="6"/>
        <tr r="D46" s="6"/>
        <tr r="F21" s="6"/>
        <tr r="E73" s="6"/>
        <tr r="F92" s="6"/>
        <tr r="G80" s="6"/>
        <tr r="G129" s="6"/>
        <tr r="E123" s="6"/>
        <tr r="G124" s="6"/>
        <tr r="D97" s="6"/>
        <tr r="B54" s="6"/>
        <tr r="B48" s="6"/>
        <tr r="D50" s="6"/>
        <tr r="F128" s="6"/>
        <tr r="E112" s="6"/>
        <tr r="A174" s="6"/>
        <tr r="C184" s="6"/>
        <tr r="E50" s="6"/>
        <tr r="F116" s="6"/>
        <tr r="D168" s="6"/>
        <tr r="C119" s="6"/>
        <tr r="F192" s="6"/>
        <tr r="F135" s="6"/>
        <tr r="D187" s="6"/>
        <tr r="E104" s="6"/>
        <tr r="E199" s="6"/>
        <tr r="C86" s="6"/>
        <tr r="G140" s="6"/>
        <tr r="A146" s="6"/>
        <tr r="G47" s="6"/>
        <tr r="G51" s="6"/>
        <tr r="C67" s="6"/>
        <tr r="A181" s="6"/>
        <tr r="D112" s="6"/>
        <tr r="E165" s="6"/>
        <tr r="E39" s="6"/>
        <tr r="C136" s="6"/>
        <tr r="A98" s="6"/>
        <tr r="C84" s="6"/>
        <tr r="D47" s="6"/>
        <tr r="G149" s="6"/>
        <tr r="D55" s="6"/>
        <tr r="G33" s="6"/>
        <tr r="C175" s="6"/>
        <tr r="B46" s="6"/>
        <tr r="G9" s="6"/>
        <tr r="G25" s="6"/>
        <tr r="C81" s="6"/>
        <tr r="B195" s="6"/>
        <tr r="F15" s="6"/>
        <tr r="A57" s="6"/>
        <tr r="C88" s="6"/>
        <tr r="E189" s="6"/>
        <tr r="C176" s="6"/>
        <tr r="E136" s="6"/>
        <tr r="G98" s="6"/>
        <tr r="G96" s="6"/>
        <tr r="B13" s="6"/>
        <tr r="C140" s="6"/>
        <tr r="E174" s="6"/>
        <tr r="F38" s="6"/>
        <tr r="G108" s="6"/>
        <tr r="A47" s="6"/>
        <tr r="E15" s="6"/>
        <tr r="A56" s="6"/>
        <tr r="F44" s="6"/>
        <tr r="C51" s="6"/>
        <tr r="B125" s="6"/>
        <tr r="B75" s="6"/>
        <tr r="D114" s="6"/>
        <tr r="F49" s="6"/>
        <tr r="D27" s="6"/>
        <tr r="C87" s="6"/>
        <tr r="B25" s="6"/>
        <tr r="C21" s="6"/>
        <tr r="A134" s="6"/>
        <tr r="G41" s="6"/>
        <tr r="D99" s="6"/>
        <tr r="G86" s="6"/>
        <tr r="D53" s="6"/>
        <tr r="A19" s="6"/>
        <tr r="E47" s="6"/>
        <tr r="G133" s="6"/>
        <tr r="G88" s="6"/>
        <tr r="A18" s="6"/>
        <tr r="F127" s="6"/>
        <tr r="F182" s="6"/>
        <tr r="D51" s="6"/>
        <tr r="G156" s="6"/>
        <tr r="G90" s="6"/>
        <tr r="B142" s="6"/>
        <tr r="E54" s="6"/>
        <tr r="F141" s="6"/>
        <tr r="B8" s="6"/>
        <tr r="G141" s="6"/>
        <tr r="F60" s="6"/>
        <tr r="D159" s="6"/>
        <tr r="G183" s="6"/>
        <tr r="G32" s="6"/>
        <tr r="A129" s="6"/>
        <tr r="B52" s="6"/>
        <tr r="G119" s="6"/>
        <tr r="A132" s="6"/>
        <tr r="C13" s="6"/>
        <tr r="C104" s="6"/>
        <tr r="B77" s="6"/>
        <tr r="B27" s="6"/>
        <tr r="C157" s="6"/>
        <tr r="D15" s="6"/>
        <tr r="F112" s="6"/>
        <tr r="D162" s="6"/>
        <tr r="F179" s="6"/>
        <tr r="E195" s="6"/>
        <tr r="A4" s="6"/>
        <tr r="B173" s="6"/>
        <tr r="F108" s="6"/>
        <tr r="F175" s="6"/>
        <tr r="C63" s="6"/>
        <tr r="G105" s="6"/>
        <tr r="E177" s="6"/>
        <tr r="B82" s="6"/>
        <tr r="F41" s="6"/>
        <tr r="B154" s="6"/>
        <tr r="F29" s="6"/>
        <tr r="C142" s="6"/>
        <tr r="A112" s="6"/>
        <tr r="G60" s="6"/>
        <tr r="G20" s="6"/>
        <tr r="D40" s="6"/>
        <tr r="A175" s="6"/>
        <tr r="D87" s="6"/>
        <tr r="E124" s="6"/>
        <tr r="A116" s="6"/>
        <tr r="B86" s="6"/>
        <tr r="B132" s="6"/>
        <tr r="F24" s="6"/>
        <tr r="G57" s="6"/>
        <tr r="B70" s="6"/>
        <tr r="C77" s="6"/>
        <tr r="E159" s="6"/>
        <tr r="E167" s="6"/>
        <tr r="B110" s="6"/>
        <tr r="D35" s="6"/>
        <tr r="C3" s="6"/>
        <tr r="G46" s="6"/>
        <tr r="A167" s="6"/>
        <tr r="G26" s="6"/>
        <tr r="E148" s="6"/>
        <tr r="D193" s="6"/>
        <tr r="G179" s="6"/>
        <tr r="F148" s="6"/>
        <tr r="D82" s="6"/>
        <tr r="C114" s="6"/>
        <tr r="C199" s="6"/>
        <tr r="E9" s="6"/>
        <tr r="E160" s="6"/>
        <tr r="B158" s="6"/>
        <tr r="D138" s="6"/>
        <tr r="G81" s="6"/>
        <tr r="E191" s="6"/>
        <tr r="A77" s="6"/>
        <tr r="G97" s="6"/>
        <tr r="G186" s="6"/>
        <tr r="F178" s="6"/>
        <tr r="B163" s="6"/>
        <tr r="G128" s="6"/>
        <tr r="G152" s="6"/>
        <tr r="C59" s="6"/>
        <tr r="C168" s="6"/>
        <tr r="G153" s="6"/>
        <tr r="D121" s="6"/>
        <tr r="E25" s="6"/>
        <tr r="G116" s="6"/>
        <tr r="D2" s="6"/>
        <tr r="D33" s="6"/>
        <tr r="F195" s="6"/>
        <tr r="A123" s="6"/>
        <tr r="D39" s="6"/>
        <tr r="E85" s="6"/>
        <tr r="A80" s="6"/>
        <tr r="B78" s="6"/>
        <tr r="C116" s="6"/>
        <tr r="B2" s="6"/>
        <tr r="B92" s="6"/>
        <tr r="C193" s="6"/>
        <tr r="E170" s="6"/>
        <tr r="C145" s="6"/>
        <tr r="B114" s="6"/>
        <tr r="A31" s="6"/>
        <tr r="F61" s="6"/>
        <tr r="F171" s="6"/>
        <tr r="G85" s="6"/>
        <tr r="B71" s="6"/>
        <tr r="C74" s="6"/>
        <tr r="G161" s="6"/>
        <tr r="B67" s="6"/>
        <tr r="C11" s="6"/>
        <tr r="F150" s="6"/>
        <tr r="G87" s="6"/>
        <tr r="E169" s="6"/>
        <tr r="B181" s="6"/>
        <tr r="E84" s="6"/>
        <tr r="F25" s="6"/>
        <tr r="C170" s="6"/>
        <tr r="F103" s="6"/>
        <tr r="D10" s="6"/>
        <tr r="E111" s="6"/>
        <tr r="A100" s="6"/>
        <tr r="B169" s="6"/>
        <tr r="A186" s="6"/>
        <tr r="C27" s="6"/>
        <tr r="C187" s="6"/>
        <tr r="D89" s="6"/>
        <tr r="F47" s="6"/>
        <tr r="D41" s="6"/>
        <tr r="F100" s="6"/>
        <tr r="E192" s="6"/>
        <tr r="E56" s="6"/>
        <tr r="E14" s="6"/>
        <tr r="D130" s="6"/>
        <tr r="D195" s="6"/>
        <tr r="C132" s="6"/>
        <tr r="F46" s="6"/>
        <tr r="B74" s="6"/>
        <tr r="A164" s="6"/>
        <tr r="A79" s="6"/>
        <tr r="E31" s="6"/>
        <tr r="F86" s="6"/>
        <tr r="B15" s="6"/>
        <tr r="F85" s="6"/>
        <tr r="A99" s="6"/>
        <tr r="A133" s="6"/>
        <tr r="C65" s="6"/>
        <tr r="A96" s="6"/>
        <tr r="D155" s="6"/>
        <tr r="C45" s="6"/>
        <tr r="D21" s="6"/>
        <tr r="C26" s="6"/>
        <tr r="E200" s="6"/>
        <tr r="C42" s="6"/>
        <tr r="G136" s="6"/>
        <tr r="D148" s="6"/>
        <tr r="F123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0</xdr:rowOff>
        </xdr:from>
        <xdr:to>
          <xdr:col>9</xdr:col>
          <xdr:colOff>0</xdr:colOff>
          <xdr:row>20</xdr:row>
          <xdr:rowOff>200025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21</xdr:row>
          <xdr:rowOff>9525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0</xdr:rowOff>
        </xdr:from>
        <xdr:to>
          <xdr:col>3</xdr:col>
          <xdr:colOff>9525</xdr:colOff>
          <xdr:row>20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W31"/>
  <sheetViews>
    <sheetView tabSelected="1" workbookViewId="0"/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" customWidth="1"/>
    <col min="4" max="4" width="11" style="2" customWidth="1"/>
    <col min="5" max="5" width="11" customWidth="1"/>
    <col min="6" max="6" width="10" customWidth="1"/>
    <col min="7" max="7" width="11.5703125" customWidth="1"/>
    <col min="8" max="8" width="10.7109375" hidden="1" customWidth="1"/>
    <col min="9" max="9" width="13.7109375" bestFit="1" customWidth="1"/>
    <col min="10" max="10" width="9.42578125" customWidth="1"/>
    <col min="11" max="11" width="15.7109375" customWidth="1"/>
    <col min="12" max="12" width="3.140625" customWidth="1"/>
    <col min="13" max="15" width="11.42578125" customWidth="1"/>
    <col min="16" max="16" width="7.28515625" bestFit="1" customWidth="1"/>
    <col min="17" max="17" width="4.85546875" bestFit="1" customWidth="1"/>
    <col min="18" max="18" width="3" customWidth="1"/>
    <col min="19" max="19" width="10.5703125" customWidth="1"/>
    <col min="20" max="23" width="7.5703125" customWidth="1"/>
  </cols>
  <sheetData>
    <row r="1" spans="1:23" ht="15.75" thickBot="1" x14ac:dyDescent="0.3">
      <c r="A1" s="30">
        <f ca="1">TODAY()</f>
        <v>44161</v>
      </c>
      <c r="B1" s="31" t="s">
        <v>17</v>
      </c>
      <c r="C1" s="32" t="s">
        <v>59</v>
      </c>
      <c r="D1" s="32" t="s">
        <v>58</v>
      </c>
      <c r="E1" s="32" t="s">
        <v>66</v>
      </c>
      <c r="F1" s="31" t="s">
        <v>45</v>
      </c>
      <c r="G1" s="9"/>
      <c r="H1" s="9"/>
      <c r="J1" s="45"/>
      <c r="K1" s="28"/>
      <c r="L1" s="27"/>
      <c r="M1" s="27"/>
      <c r="N1" s="28"/>
      <c r="O1" s="28"/>
      <c r="P1" s="27"/>
      <c r="Q1" s="4"/>
      <c r="R1" s="28"/>
      <c r="S1" s="3"/>
      <c r="T1" s="4"/>
      <c r="U1" s="28"/>
      <c r="V1" s="28"/>
      <c r="W1" s="3"/>
    </row>
    <row r="2" spans="1:23" ht="15.75" thickBot="1" x14ac:dyDescent="0.3">
      <c r="A2" s="71" t="s">
        <v>43</v>
      </c>
      <c r="B2" s="72">
        <v>0.15</v>
      </c>
      <c r="C2" s="73">
        <v>1500</v>
      </c>
      <c r="D2" s="73">
        <f>D28</f>
        <v>11534.81000001</v>
      </c>
      <c r="E2" s="73">
        <f>D30</f>
        <v>245</v>
      </c>
      <c r="F2" s="74">
        <f>SUM(C2:E2)</f>
        <v>13279.81000001</v>
      </c>
      <c r="J2" s="46"/>
    </row>
    <row r="3" spans="1:23" ht="15.75" thickBot="1" x14ac:dyDescent="0.3">
      <c r="A3" s="49" t="s">
        <v>23</v>
      </c>
      <c r="B3" s="47">
        <f>SUM(E8:E20)</f>
        <v>9.873602110019411E-2</v>
      </c>
      <c r="C3" s="48">
        <f>F21-(F21*MarketFee)</f>
        <v>1426.5017329396048</v>
      </c>
      <c r="D3" s="48">
        <f>F28</f>
        <v>11435.297501751544</v>
      </c>
      <c r="E3" s="48">
        <f>F30</f>
        <v>65</v>
      </c>
      <c r="F3" s="70">
        <f>SUM(C3:E3)</f>
        <v>12926.799234691149</v>
      </c>
      <c r="K3" s="34"/>
      <c r="L3" s="34"/>
      <c r="M3" s="34"/>
      <c r="S3" s="34"/>
      <c r="T3" s="34"/>
      <c r="U3" s="34"/>
      <c r="V3" s="34"/>
      <c r="W3" s="34"/>
    </row>
    <row r="4" spans="1:23" ht="15.75" thickBot="1" x14ac:dyDescent="0.3">
      <c r="A4" s="54"/>
      <c r="B4" s="53">
        <f t="shared" ref="B4:E4" si="0">B3/B2-1</f>
        <v>-0.34175985933203923</v>
      </c>
      <c r="C4" s="53">
        <f t="shared" si="0"/>
        <v>-4.8998844706930056E-2</v>
      </c>
      <c r="D4" s="53">
        <f t="shared" si="0"/>
        <v>-8.6271467200907948E-3</v>
      </c>
      <c r="E4" s="53">
        <f t="shared" si="0"/>
        <v>-0.73469387755102034</v>
      </c>
      <c r="F4" s="53">
        <f>F3/F2-1</f>
        <v>-2.6582516264809897E-2</v>
      </c>
      <c r="K4" s="34"/>
      <c r="L4" s="34"/>
      <c r="M4" s="34"/>
      <c r="S4" s="34"/>
      <c r="T4" s="34"/>
      <c r="U4" s="34"/>
      <c r="V4" s="34"/>
      <c r="W4" s="34"/>
    </row>
    <row r="5" spans="1:23" ht="15.75" thickBot="1" x14ac:dyDescent="0.3">
      <c r="A5" s="54" t="s">
        <v>44</v>
      </c>
      <c r="B5" s="69">
        <f>B3-B2</f>
        <v>-5.1263978899805884E-2</v>
      </c>
      <c r="C5" s="55">
        <f>C3-C2</f>
        <v>-73.498267060395165</v>
      </c>
      <c r="D5" s="55">
        <f>D3-D2</f>
        <v>-99.512498258456617</v>
      </c>
      <c r="E5" s="55">
        <f>E3-E2</f>
        <v>-180</v>
      </c>
      <c r="F5" s="55">
        <f>SUM(C5:E5)</f>
        <v>-353.01076531885178</v>
      </c>
      <c r="K5" s="1"/>
      <c r="L5" s="35"/>
      <c r="M5" s="34"/>
      <c r="S5" s="34"/>
      <c r="T5" s="34"/>
      <c r="U5" s="34"/>
      <c r="V5" s="34"/>
      <c r="W5" s="34"/>
    </row>
    <row r="6" spans="1:23" ht="15.75" thickBot="1" x14ac:dyDescent="0.3">
      <c r="A6" s="51" t="s">
        <v>34</v>
      </c>
      <c r="B6" s="29"/>
      <c r="D6" s="7"/>
      <c r="M6" s="51" t="s">
        <v>33</v>
      </c>
      <c r="S6" s="51" t="s">
        <v>64</v>
      </c>
      <c r="W6" s="36"/>
    </row>
    <row r="7" spans="1:23" ht="15.75" thickBot="1" x14ac:dyDescent="0.3">
      <c r="A7" s="31" t="s">
        <v>27</v>
      </c>
      <c r="B7" s="32" t="s">
        <v>26</v>
      </c>
      <c r="C7" s="75" t="s">
        <v>18</v>
      </c>
      <c r="D7" s="31" t="s">
        <v>21</v>
      </c>
      <c r="E7" s="31" t="s">
        <v>37</v>
      </c>
      <c r="F7" s="31" t="s">
        <v>22</v>
      </c>
      <c r="G7" s="31" t="s">
        <v>19</v>
      </c>
      <c r="H7" s="31"/>
      <c r="I7" s="37" t="s">
        <v>20</v>
      </c>
      <c r="J7" s="38" t="s">
        <v>40</v>
      </c>
      <c r="K7" s="53">
        <v>2.5999999999999999E-3</v>
      </c>
      <c r="M7" s="58" t="s">
        <v>24</v>
      </c>
      <c r="N7" s="59" t="s">
        <v>25</v>
      </c>
      <c r="O7" s="59" t="s">
        <v>46</v>
      </c>
      <c r="P7" s="60" t="s">
        <v>28</v>
      </c>
      <c r="Q7" s="61" t="s">
        <v>29</v>
      </c>
      <c r="S7" s="31" t="s">
        <v>32</v>
      </c>
      <c r="T7" s="32" t="s">
        <v>17</v>
      </c>
      <c r="U7" s="37" t="s">
        <v>35</v>
      </c>
      <c r="V7" s="37" t="s">
        <v>44</v>
      </c>
      <c r="W7" s="31" t="s">
        <v>63</v>
      </c>
    </row>
    <row r="8" spans="1:23" x14ac:dyDescent="0.25">
      <c r="A8" s="147" t="s">
        <v>1</v>
      </c>
      <c r="B8" s="148" t="s">
        <v>2</v>
      </c>
      <c r="C8" s="149">
        <f t="shared" ref="C8" si="1">VLOOKUP(A8,BalancesRange,2,FALSE)</f>
        <v>1.9000000000000001E-9</v>
      </c>
      <c r="D8" s="150">
        <f>IF(C8&lt;0.00000001,0,C8)</f>
        <v>0</v>
      </c>
      <c r="E8" s="151">
        <f>C8</f>
        <v>1.9000000000000001E-9</v>
      </c>
      <c r="F8" s="152">
        <f>E8*BTCPriceEUR</f>
        <v>2.7541925E-5</v>
      </c>
      <c r="G8" s="153">
        <v>11700</v>
      </c>
      <c r="H8" s="153"/>
      <c r="I8" s="154">
        <f t="shared" ref="I8:I20" si="2">VLOOKUP(B8,PricesRange,4,FALSE)</f>
        <v>17237.5</v>
      </c>
      <c r="J8" s="101">
        <f t="shared" ref="J8:J20" si="3">D8/BTCBase</f>
        <v>0</v>
      </c>
      <c r="K8" s="100">
        <f t="shared" ref="K8:K20" si="4">IF(C8&lt;0.001,0,E8/D8-MarketFee-1)</f>
        <v>0</v>
      </c>
      <c r="M8" s="62">
        <v>-0.05</v>
      </c>
      <c r="N8" s="63">
        <v>0.1</v>
      </c>
      <c r="O8" s="63">
        <v>-0.05</v>
      </c>
      <c r="P8" s="64"/>
      <c r="Q8" s="65"/>
      <c r="S8" s="226">
        <v>43982</v>
      </c>
      <c r="T8" s="221">
        <v>1500</v>
      </c>
      <c r="U8" s="186">
        <v>1500</v>
      </c>
      <c r="V8" s="214">
        <f>U8-T8</f>
        <v>0</v>
      </c>
      <c r="W8" s="159">
        <f t="shared" ref="W8:W15" si="5">U8/T8-1</f>
        <v>0</v>
      </c>
    </row>
    <row r="9" spans="1:23" x14ac:dyDescent="0.25">
      <c r="A9" s="143" t="s">
        <v>38</v>
      </c>
      <c r="B9" s="144" t="s">
        <v>36</v>
      </c>
      <c r="C9" s="137">
        <f t="shared" ref="C9:C10" si="6">VLOOKUP(A9,BalancesRange,2,FALSE)</f>
        <v>1E-4</v>
      </c>
      <c r="D9" s="145">
        <v>0</v>
      </c>
      <c r="E9" s="135">
        <f>C9/I9</f>
        <v>6.8985737198834144E-9</v>
      </c>
      <c r="F9" s="56">
        <f>C9</f>
        <v>1E-4</v>
      </c>
      <c r="G9" s="98">
        <f>I9</f>
        <v>14495.75</v>
      </c>
      <c r="H9" s="98" t="s">
        <v>41</v>
      </c>
      <c r="I9" s="146">
        <f t="shared" si="2"/>
        <v>14495.75</v>
      </c>
      <c r="J9" s="101">
        <f t="shared" si="3"/>
        <v>0</v>
      </c>
      <c r="K9" s="100">
        <f t="shared" si="4"/>
        <v>0</v>
      </c>
      <c r="M9" s="96">
        <f t="shared" ref="M9" si="7">ROUND(I9*(1+BuyTarget),Q9)</f>
        <v>13771</v>
      </c>
      <c r="N9" s="97">
        <f t="shared" ref="N9" si="8">ROUND(G9*(1+SellTarget),Q9)</f>
        <v>15945</v>
      </c>
      <c r="O9" s="136">
        <f t="shared" ref="O9:O20" si="9">ROUND(G9*(1+StopLoss),Q9)</f>
        <v>13771</v>
      </c>
      <c r="P9" s="57">
        <v>0</v>
      </c>
      <c r="Q9" s="66">
        <v>0</v>
      </c>
      <c r="S9" s="227">
        <v>44012</v>
      </c>
      <c r="T9" s="222">
        <v>1500</v>
      </c>
      <c r="U9" s="187">
        <v>1500</v>
      </c>
      <c r="V9" s="214">
        <f t="shared" ref="V9:V15" si="10">U9-T9</f>
        <v>0</v>
      </c>
      <c r="W9" s="159">
        <f t="shared" si="5"/>
        <v>0</v>
      </c>
    </row>
    <row r="10" spans="1:23" x14ac:dyDescent="0.25">
      <c r="A10" s="116" t="s">
        <v>39</v>
      </c>
      <c r="B10" s="115" t="s">
        <v>2</v>
      </c>
      <c r="C10" s="138">
        <f t="shared" si="6"/>
        <v>1701.962</v>
      </c>
      <c r="D10" s="113">
        <v>0.15</v>
      </c>
      <c r="E10" s="135">
        <f>C10/I10</f>
        <v>9.8736011602610585E-2</v>
      </c>
      <c r="F10" s="114">
        <f>C10/USDPrice</f>
        <v>1430.220168067227</v>
      </c>
      <c r="G10" s="128">
        <f>I10</f>
        <v>17237.5</v>
      </c>
      <c r="H10" s="128" t="s">
        <v>48</v>
      </c>
      <c r="I10" s="158">
        <f t="shared" si="2"/>
        <v>17237.5</v>
      </c>
      <c r="J10" s="101">
        <f t="shared" si="3"/>
        <v>1</v>
      </c>
      <c r="K10" s="100">
        <f t="shared" si="4"/>
        <v>-0.34435992264926274</v>
      </c>
      <c r="M10" s="96">
        <f>ROUND(I10*(1+BuyTarget),Q10)</f>
        <v>16376</v>
      </c>
      <c r="N10" s="97">
        <f>ROUND(G10*(1+SellTarget),Q10)</f>
        <v>18961</v>
      </c>
      <c r="O10" s="97">
        <f t="shared" si="9"/>
        <v>16376</v>
      </c>
      <c r="P10" s="57">
        <v>0</v>
      </c>
      <c r="Q10" s="66">
        <v>0</v>
      </c>
      <c r="S10" s="227">
        <v>44043</v>
      </c>
      <c r="T10" s="222">
        <v>11500</v>
      </c>
      <c r="U10" s="188">
        <v>11250</v>
      </c>
      <c r="V10" s="214">
        <f t="shared" si="10"/>
        <v>-250</v>
      </c>
      <c r="W10" s="159">
        <f t="shared" si="5"/>
        <v>-2.1739130434782594E-2</v>
      </c>
    </row>
    <row r="11" spans="1:23" x14ac:dyDescent="0.25">
      <c r="A11" s="129" t="s">
        <v>5</v>
      </c>
      <c r="B11" s="130" t="s">
        <v>6</v>
      </c>
      <c r="C11" s="131">
        <f>VLOOKUP(A11,BalancesRange,2,FALSE)</f>
        <v>2.2799999999999999E-8</v>
      </c>
      <c r="D11" s="132">
        <v>0</v>
      </c>
      <c r="E11" s="125">
        <f>C11*I11</f>
        <v>6.8639399999999998E-10</v>
      </c>
      <c r="F11" s="126">
        <f>C11*I11*BTCPrice/USDPrice</f>
        <v>9.942618970588235E-6</v>
      </c>
      <c r="G11" s="156">
        <f>IF(C11=0,0,D11/C11)</f>
        <v>0</v>
      </c>
      <c r="H11" s="133" t="s">
        <v>49</v>
      </c>
      <c r="I11" s="134">
        <f t="shared" si="2"/>
        <v>3.0105E-2</v>
      </c>
      <c r="J11" s="101">
        <f t="shared" si="3"/>
        <v>0</v>
      </c>
      <c r="K11" s="100">
        <f t="shared" si="4"/>
        <v>0</v>
      </c>
      <c r="M11" s="162">
        <f t="shared" ref="M11:M20" si="11">ROUND(I11*(1+BuyTarget),Q11)</f>
        <v>2.86E-2</v>
      </c>
      <c r="N11" s="163">
        <f t="shared" ref="N11:N20" si="12">ROUND(G11*(1+SellTarget),Q11)</f>
        <v>0</v>
      </c>
      <c r="O11" s="163">
        <f t="shared" si="9"/>
        <v>0</v>
      </c>
      <c r="P11" s="57">
        <v>0</v>
      </c>
      <c r="Q11" s="66">
        <v>5</v>
      </c>
      <c r="S11" s="228">
        <v>44074</v>
      </c>
      <c r="T11" s="223">
        <v>11800</v>
      </c>
      <c r="U11" s="76">
        <v>12300</v>
      </c>
      <c r="V11" s="214">
        <f t="shared" si="10"/>
        <v>500</v>
      </c>
      <c r="W11" s="159">
        <f t="shared" si="5"/>
        <v>4.2372881355932313E-2</v>
      </c>
    </row>
    <row r="12" spans="1:23" x14ac:dyDescent="0.25">
      <c r="A12" s="129"/>
      <c r="B12" s="130" t="s">
        <v>57</v>
      </c>
      <c r="C12" s="131"/>
      <c r="D12" s="132"/>
      <c r="E12" s="125"/>
      <c r="F12" s="126"/>
      <c r="G12" s="156"/>
      <c r="H12" s="133"/>
      <c r="I12" s="134">
        <f t="shared" si="2"/>
        <v>518.97500000000002</v>
      </c>
      <c r="J12" s="101">
        <f t="shared" si="3"/>
        <v>0</v>
      </c>
      <c r="K12" s="100">
        <f t="shared" si="4"/>
        <v>0</v>
      </c>
      <c r="M12" s="231">
        <f t="shared" si="11"/>
        <v>493.03</v>
      </c>
      <c r="N12" s="136">
        <f t="shared" si="12"/>
        <v>0</v>
      </c>
      <c r="O12" s="136">
        <f t="shared" si="9"/>
        <v>0</v>
      </c>
      <c r="P12" s="57">
        <v>0</v>
      </c>
      <c r="Q12" s="66">
        <v>2</v>
      </c>
      <c r="S12" s="229">
        <v>44104</v>
      </c>
      <c r="T12" s="224">
        <v>12735</v>
      </c>
      <c r="U12" s="213">
        <v>12000</v>
      </c>
      <c r="V12" s="214">
        <f t="shared" si="10"/>
        <v>-735</v>
      </c>
      <c r="W12" s="159">
        <f t="shared" si="5"/>
        <v>-5.7714958775029412E-2</v>
      </c>
    </row>
    <row r="13" spans="1:23" x14ac:dyDescent="0.25">
      <c r="A13" s="87" t="s">
        <v>3</v>
      </c>
      <c r="B13" s="88" t="s">
        <v>4</v>
      </c>
      <c r="C13" s="89">
        <f>VLOOKUP(A13,BalancesRange,2,FALSE)</f>
        <v>3.2000000000000001E-7</v>
      </c>
      <c r="D13" s="92">
        <v>0</v>
      </c>
      <c r="E13" s="93">
        <f>C13*I13</f>
        <v>9.8607999999999985E-12</v>
      </c>
      <c r="F13" s="94">
        <f>C13*I13*BTCPrice/USDPrice</f>
        <v>1.4283658823529412E-7</v>
      </c>
      <c r="G13" s="155">
        <f>IF(C13=0,0,D13/C13)</f>
        <v>0</v>
      </c>
      <c r="H13" s="90" t="s">
        <v>50</v>
      </c>
      <c r="I13" s="91">
        <f t="shared" si="2"/>
        <v>3.0814999999999995E-5</v>
      </c>
      <c r="J13" s="101">
        <f t="shared" si="3"/>
        <v>0</v>
      </c>
      <c r="K13" s="100">
        <f t="shared" si="4"/>
        <v>0</v>
      </c>
      <c r="M13" s="107">
        <f t="shared" si="11"/>
        <v>2.9300000000000001E-5</v>
      </c>
      <c r="N13" s="163">
        <f t="shared" si="12"/>
        <v>0</v>
      </c>
      <c r="O13" s="163">
        <f t="shared" si="9"/>
        <v>0</v>
      </c>
      <c r="P13" s="57">
        <v>0</v>
      </c>
      <c r="Q13" s="66">
        <v>7</v>
      </c>
      <c r="S13" s="229">
        <v>44135</v>
      </c>
      <c r="T13" s="224">
        <v>12735</v>
      </c>
      <c r="U13" s="213">
        <v>12100</v>
      </c>
      <c r="V13" s="214">
        <f t="shared" si="10"/>
        <v>-635</v>
      </c>
      <c r="W13" s="159">
        <f t="shared" si="5"/>
        <v>-4.9862583431487972E-2</v>
      </c>
    </row>
    <row r="14" spans="1:23" ht="15.75" thickBot="1" x14ac:dyDescent="0.3">
      <c r="A14" s="87"/>
      <c r="B14" s="88" t="s">
        <v>56</v>
      </c>
      <c r="C14" s="89"/>
      <c r="D14" s="92"/>
      <c r="E14" s="125"/>
      <c r="F14" s="126"/>
      <c r="G14" s="155"/>
      <c r="H14" s="90"/>
      <c r="I14" s="91">
        <f t="shared" si="2"/>
        <v>0.44676000000000005</v>
      </c>
      <c r="J14" s="101">
        <f t="shared" si="3"/>
        <v>0</v>
      </c>
      <c r="K14" s="100">
        <f t="shared" si="4"/>
        <v>0</v>
      </c>
      <c r="M14" s="231">
        <f t="shared" si="11"/>
        <v>0.42</v>
      </c>
      <c r="N14" s="136">
        <f t="shared" si="12"/>
        <v>0</v>
      </c>
      <c r="O14" s="136">
        <f t="shared" si="9"/>
        <v>0</v>
      </c>
      <c r="P14" s="57">
        <v>0</v>
      </c>
      <c r="Q14" s="66">
        <v>2</v>
      </c>
      <c r="S14" s="228">
        <v>44165</v>
      </c>
      <c r="T14" s="223">
        <f>F2</f>
        <v>13279.81000001</v>
      </c>
      <c r="U14" s="215">
        <f>F3</f>
        <v>12926.799234691149</v>
      </c>
      <c r="V14" s="216">
        <f t="shared" si="10"/>
        <v>-353.01076531885155</v>
      </c>
      <c r="W14" s="217">
        <f t="shared" si="5"/>
        <v>-2.6582516264809897E-2</v>
      </c>
    </row>
    <row r="15" spans="1:23" ht="15.75" thickBot="1" x14ac:dyDescent="0.3">
      <c r="A15" s="87" t="s">
        <v>7</v>
      </c>
      <c r="B15" s="88" t="s">
        <v>8</v>
      </c>
      <c r="C15" s="89">
        <f>VLOOKUP(A15,BalancesRange,2,FALSE)</f>
        <v>2E-8</v>
      </c>
      <c r="D15" s="92">
        <v>0</v>
      </c>
      <c r="E15" s="93">
        <f t="shared" ref="E15:E19" si="13">C15*I15</f>
        <v>2.7550000000000003E-12</v>
      </c>
      <c r="F15" s="94">
        <f t="shared" ref="F15:F17" si="14">C15*I15*BTCPrice/USDPrice</f>
        <v>3.9906985294117652E-8</v>
      </c>
      <c r="G15" s="155">
        <f>IF(C15=0,0,D15/C15)</f>
        <v>0</v>
      </c>
      <c r="H15" s="90" t="s">
        <v>8</v>
      </c>
      <c r="I15" s="91">
        <f t="shared" si="2"/>
        <v>1.3775000000000001E-4</v>
      </c>
      <c r="J15" s="101">
        <f t="shared" si="3"/>
        <v>0</v>
      </c>
      <c r="K15" s="100">
        <f t="shared" si="4"/>
        <v>0</v>
      </c>
      <c r="M15" s="108">
        <f t="shared" si="11"/>
        <v>1.3100000000000001E-4</v>
      </c>
      <c r="N15" s="109">
        <f t="shared" si="12"/>
        <v>0</v>
      </c>
      <c r="O15" s="109">
        <f t="shared" si="9"/>
        <v>0</v>
      </c>
      <c r="P15" s="57">
        <v>0</v>
      </c>
      <c r="Q15" s="66">
        <v>6</v>
      </c>
      <c r="S15" s="230" t="s">
        <v>65</v>
      </c>
      <c r="T15" s="225">
        <f>F2</f>
        <v>13279.81000001</v>
      </c>
      <c r="U15" s="220">
        <f>F3</f>
        <v>12926.799234691149</v>
      </c>
      <c r="V15" s="218">
        <f t="shared" si="10"/>
        <v>-353.01076531885155</v>
      </c>
      <c r="W15" s="219">
        <f t="shared" si="5"/>
        <v>-2.6582516264809897E-2</v>
      </c>
    </row>
    <row r="16" spans="1:23" x14ac:dyDescent="0.25">
      <c r="A16" s="87"/>
      <c r="B16" s="88" t="s">
        <v>53</v>
      </c>
      <c r="C16" s="89"/>
      <c r="D16" s="92"/>
      <c r="E16" s="93"/>
      <c r="F16" s="94"/>
      <c r="G16" s="155"/>
      <c r="H16" s="90"/>
      <c r="I16" s="91">
        <f t="shared" si="2"/>
        <v>1.9981499999999999</v>
      </c>
      <c r="J16" s="101">
        <f t="shared" si="3"/>
        <v>0</v>
      </c>
      <c r="K16" s="100">
        <f t="shared" si="4"/>
        <v>0</v>
      </c>
      <c r="M16" s="231">
        <f t="shared" si="11"/>
        <v>1.9</v>
      </c>
      <c r="N16" s="136">
        <f t="shared" si="12"/>
        <v>0</v>
      </c>
      <c r="O16" s="136">
        <f t="shared" si="9"/>
        <v>0</v>
      </c>
      <c r="P16" s="57">
        <v>0</v>
      </c>
      <c r="Q16" s="66">
        <v>2</v>
      </c>
      <c r="S16" s="3"/>
      <c r="T16" s="123"/>
      <c r="U16" s="29"/>
      <c r="V16" s="29"/>
      <c r="W16" s="35"/>
    </row>
    <row r="17" spans="1:22" x14ac:dyDescent="0.25">
      <c r="A17" s="77" t="s">
        <v>30</v>
      </c>
      <c r="B17" s="78" t="s">
        <v>31</v>
      </c>
      <c r="C17" s="79">
        <f>VLOOKUP(A17,BalancesRange,2,FALSE)</f>
        <v>0</v>
      </c>
      <c r="D17" s="80">
        <v>0</v>
      </c>
      <c r="E17" s="81">
        <f t="shared" si="13"/>
        <v>0</v>
      </c>
      <c r="F17" s="82">
        <f t="shared" si="14"/>
        <v>0</v>
      </c>
      <c r="G17" s="157">
        <f>IF(C17=0,0,D17/C17)</f>
        <v>0</v>
      </c>
      <c r="H17" s="83" t="s">
        <v>31</v>
      </c>
      <c r="I17" s="84">
        <f>VLOOKUP(B17,PricesRange,4,FALSE)</f>
        <v>7.2191500000000006E-4</v>
      </c>
      <c r="J17" s="101">
        <f t="shared" si="3"/>
        <v>0</v>
      </c>
      <c r="K17" s="100">
        <f t="shared" si="4"/>
        <v>0</v>
      </c>
      <c r="M17" s="108">
        <f t="shared" si="11"/>
        <v>6.8599999999999998E-4</v>
      </c>
      <c r="N17" s="109">
        <f t="shared" si="12"/>
        <v>0</v>
      </c>
      <c r="O17" s="109">
        <f t="shared" si="9"/>
        <v>0</v>
      </c>
      <c r="P17" s="57">
        <v>0</v>
      </c>
      <c r="Q17" s="66">
        <v>6</v>
      </c>
      <c r="U17" s="33"/>
      <c r="V17" s="33"/>
    </row>
    <row r="18" spans="1:22" x14ac:dyDescent="0.25">
      <c r="A18" s="85"/>
      <c r="B18" s="86" t="s">
        <v>54</v>
      </c>
      <c r="C18" s="79"/>
      <c r="D18" s="80"/>
      <c r="E18" s="81"/>
      <c r="F18" s="82"/>
      <c r="G18" s="157"/>
      <c r="H18" s="83"/>
      <c r="I18" s="84">
        <f>VLOOKUP(B18,PricesRange,4,FALSE)</f>
        <v>10.45571</v>
      </c>
      <c r="J18" s="101">
        <f t="shared" si="3"/>
        <v>0</v>
      </c>
      <c r="K18" s="100">
        <f t="shared" si="4"/>
        <v>0</v>
      </c>
      <c r="L18" s="3"/>
      <c r="M18" s="231">
        <f t="shared" si="11"/>
        <v>9.93</v>
      </c>
      <c r="N18" s="136">
        <f t="shared" si="12"/>
        <v>0</v>
      </c>
      <c r="O18" s="136">
        <f t="shared" si="9"/>
        <v>0</v>
      </c>
      <c r="P18" s="57">
        <v>0</v>
      </c>
      <c r="Q18" s="66">
        <v>2</v>
      </c>
      <c r="U18" s="33"/>
      <c r="V18" s="33"/>
    </row>
    <row r="19" spans="1:22" x14ac:dyDescent="0.25">
      <c r="A19" s="85" t="s">
        <v>51</v>
      </c>
      <c r="B19" s="86" t="s">
        <v>52</v>
      </c>
      <c r="C19" s="79">
        <f>VLOOKUP(A19,BalancesRange,2,FALSE)</f>
        <v>0</v>
      </c>
      <c r="D19" s="80">
        <v>0</v>
      </c>
      <c r="E19" s="81">
        <f t="shared" si="13"/>
        <v>0</v>
      </c>
      <c r="F19" s="82">
        <f>C19*I19*BTCPriceEUR</f>
        <v>0</v>
      </c>
      <c r="G19" s="157">
        <f>IF(C19=0,0,D19/C19)</f>
        <v>0</v>
      </c>
      <c r="H19" s="83" t="s">
        <v>52</v>
      </c>
      <c r="I19" s="84">
        <f t="shared" si="2"/>
        <v>9.378E-5</v>
      </c>
      <c r="J19" s="101">
        <f t="shared" si="3"/>
        <v>0</v>
      </c>
      <c r="K19" s="100">
        <f t="shared" si="4"/>
        <v>0</v>
      </c>
      <c r="M19" s="108">
        <f t="shared" si="11"/>
        <v>8.8999999999999995E-5</v>
      </c>
      <c r="N19" s="109">
        <f t="shared" si="12"/>
        <v>0</v>
      </c>
      <c r="O19" s="109">
        <f t="shared" si="9"/>
        <v>0</v>
      </c>
      <c r="P19" s="57">
        <v>0</v>
      </c>
      <c r="Q19" s="66">
        <v>6</v>
      </c>
    </row>
    <row r="20" spans="1:22" ht="15.75" thickBot="1" x14ac:dyDescent="0.3">
      <c r="A20" s="85"/>
      <c r="B20" s="86" t="s">
        <v>55</v>
      </c>
      <c r="C20" s="79"/>
      <c r="D20" s="80"/>
      <c r="E20" s="81"/>
      <c r="F20" s="82"/>
      <c r="G20" s="157"/>
      <c r="H20" s="83"/>
      <c r="I20" s="84">
        <f t="shared" si="2"/>
        <v>1.3570500000000001</v>
      </c>
      <c r="J20" s="101">
        <f t="shared" si="3"/>
        <v>0</v>
      </c>
      <c r="K20" s="100">
        <f t="shared" si="4"/>
        <v>0</v>
      </c>
      <c r="M20" s="232">
        <f t="shared" si="11"/>
        <v>1.29</v>
      </c>
      <c r="N20" s="233">
        <f t="shared" si="12"/>
        <v>0</v>
      </c>
      <c r="O20" s="233">
        <f t="shared" si="9"/>
        <v>0</v>
      </c>
      <c r="P20" s="67">
        <v>0</v>
      </c>
      <c r="Q20" s="68">
        <v>2</v>
      </c>
    </row>
    <row r="21" spans="1:22" ht="16.5" thickBot="1" x14ac:dyDescent="0.3">
      <c r="A21" s="179" t="s">
        <v>60</v>
      </c>
      <c r="B21" s="170"/>
      <c r="C21" s="171"/>
      <c r="D21" s="174">
        <f>SUM(D8:D20)</f>
        <v>0.15</v>
      </c>
      <c r="E21" s="178">
        <f>SUM(E8:E20)</f>
        <v>9.873602110019411E-2</v>
      </c>
      <c r="F21" s="173">
        <f>SUM(F8:F20)</f>
        <v>1430.2203057345146</v>
      </c>
      <c r="G21" s="174"/>
      <c r="H21" s="175"/>
      <c r="I21" s="175"/>
      <c r="J21" s="176">
        <f>C3-C2</f>
        <v>-73.498267060395165</v>
      </c>
      <c r="K21" s="177">
        <f>J21/C2</f>
        <v>-4.8998844706930111E-2</v>
      </c>
      <c r="M21" s="51"/>
    </row>
    <row r="22" spans="1:22" ht="16.5" thickBot="1" x14ac:dyDescent="0.3">
      <c r="A22" s="51" t="s">
        <v>58</v>
      </c>
      <c r="B22" s="34"/>
      <c r="C22" s="95"/>
      <c r="D22" s="164"/>
      <c r="E22" s="165"/>
      <c r="F22" s="166"/>
      <c r="G22" s="167"/>
      <c r="H22" s="167"/>
      <c r="I22" s="167"/>
      <c r="J22" s="168"/>
      <c r="K22" s="169"/>
      <c r="M22" s="51"/>
    </row>
    <row r="23" spans="1:22" x14ac:dyDescent="0.25">
      <c r="A23" s="191" t="s">
        <v>16</v>
      </c>
      <c r="B23" s="192"/>
      <c r="C23" s="50">
        <v>9300</v>
      </c>
      <c r="D23" s="52">
        <v>10534.81</v>
      </c>
      <c r="E23" s="193">
        <f>C23*I23</f>
        <v>10434.314308474233</v>
      </c>
      <c r="F23" s="193">
        <f>C23*I23</f>
        <v>10434.314308474233</v>
      </c>
      <c r="G23" s="194">
        <f>D23/C23</f>
        <v>1.1327752688172041</v>
      </c>
      <c r="H23" s="195"/>
      <c r="I23" s="196">
        <f>1/GBPPrice</f>
        <v>1.1219692804811003</v>
      </c>
      <c r="J23" s="44">
        <f t="shared" ref="J23:J28" si="15">F23-D23</f>
        <v>-100.49569152576623</v>
      </c>
      <c r="K23" s="99">
        <f t="shared" ref="K23:K27" si="16">J23/D23</f>
        <v>-9.5393928818617735E-3</v>
      </c>
      <c r="M23" s="39" t="s">
        <v>16</v>
      </c>
      <c r="N23" s="110">
        <v>0.89129000000000003</v>
      </c>
      <c r="O23" s="40">
        <f>1/N23</f>
        <v>1.1219692804811003</v>
      </c>
    </row>
    <row r="24" spans="1:22" ht="15.75" thickBot="1" x14ac:dyDescent="0.3">
      <c r="A24" s="197" t="s">
        <v>16</v>
      </c>
      <c r="B24" s="198"/>
      <c r="C24" s="140">
        <v>0</v>
      </c>
      <c r="D24" s="141">
        <v>0</v>
      </c>
      <c r="E24" s="199">
        <f>C24*I24</f>
        <v>0</v>
      </c>
      <c r="F24" s="199">
        <f>C24*I24</f>
        <v>0</v>
      </c>
      <c r="G24" s="200">
        <f>IF(C24=0,0,D24/C24)</f>
        <v>0</v>
      </c>
      <c r="H24" s="201"/>
      <c r="I24" s="202">
        <f>1/GBPPrice</f>
        <v>1.1219692804811003</v>
      </c>
      <c r="J24" s="142">
        <f t="shared" ref="J24" si="17">F24-D24</f>
        <v>0</v>
      </c>
      <c r="K24" s="124">
        <f>IF(C24=0,0,J24/D24)</f>
        <v>0</v>
      </c>
      <c r="M24" s="41" t="s">
        <v>42</v>
      </c>
      <c r="N24" s="111">
        <v>90.115300000000005</v>
      </c>
      <c r="O24" s="139">
        <f t="shared" ref="O24:O25" si="18">1/N24</f>
        <v>1.1096894755940445E-2</v>
      </c>
    </row>
    <row r="25" spans="1:22" ht="15.75" thickBot="1" x14ac:dyDescent="0.3">
      <c r="A25" s="203" t="s">
        <v>61</v>
      </c>
      <c r="B25" s="204"/>
      <c r="C25" s="205">
        <f>SUM(C23:C24)</f>
        <v>9300</v>
      </c>
      <c r="D25" s="206">
        <f>SUM(D23:D24)</f>
        <v>10534.81</v>
      </c>
      <c r="E25" s="207"/>
      <c r="F25" s="207">
        <f>SUM(F23:F24)</f>
        <v>10434.314308474233</v>
      </c>
      <c r="G25" s="208">
        <f>D25/C25</f>
        <v>1.1327752688172041</v>
      </c>
      <c r="H25" s="209"/>
      <c r="I25" s="210">
        <f>1/GBPPrice</f>
        <v>1.1219692804811003</v>
      </c>
      <c r="J25" s="211">
        <f t="shared" si="15"/>
        <v>-100.49569152576623</v>
      </c>
      <c r="K25" s="212">
        <f t="shared" si="16"/>
        <v>-9.5393928818617735E-3</v>
      </c>
      <c r="M25" s="42" t="s">
        <v>47</v>
      </c>
      <c r="N25" s="112">
        <v>1.19</v>
      </c>
      <c r="O25" s="43">
        <f t="shared" si="18"/>
        <v>0.84033613445378152</v>
      </c>
      <c r="R25" s="127"/>
    </row>
    <row r="26" spans="1:22" x14ac:dyDescent="0.25">
      <c r="A26" s="197" t="s">
        <v>47</v>
      </c>
      <c r="B26" s="198"/>
      <c r="C26" s="140">
        <v>1191.17</v>
      </c>
      <c r="D26" s="141">
        <v>1000</v>
      </c>
      <c r="E26" s="199">
        <f>C26/I26</f>
        <v>1000.983193277311</v>
      </c>
      <c r="F26" s="199">
        <f>C26/I26</f>
        <v>1000.983193277311</v>
      </c>
      <c r="G26" s="200">
        <f>C26/D26</f>
        <v>1.1911700000000001</v>
      </c>
      <c r="H26" s="201"/>
      <c r="I26" s="202">
        <f>VLOOKUP(A26,ForexRange,2,FALSE)</f>
        <v>1.19</v>
      </c>
      <c r="J26" s="142">
        <f t="shared" si="15"/>
        <v>0.98319327731098838</v>
      </c>
      <c r="K26" s="124">
        <f t="shared" si="16"/>
        <v>9.8319327731098845E-4</v>
      </c>
      <c r="M26" s="189"/>
      <c r="N26" s="190"/>
      <c r="O26" s="95"/>
      <c r="R26" s="127"/>
    </row>
    <row r="27" spans="1:22" ht="15.75" thickBot="1" x14ac:dyDescent="0.3">
      <c r="A27" s="197" t="s">
        <v>42</v>
      </c>
      <c r="B27" s="198"/>
      <c r="C27" s="140">
        <v>0</v>
      </c>
      <c r="D27" s="141">
        <v>1E-8</v>
      </c>
      <c r="E27" s="199">
        <f>C27/I27</f>
        <v>0</v>
      </c>
      <c r="F27" s="199">
        <f>C27/I27</f>
        <v>0</v>
      </c>
      <c r="G27" s="200">
        <f>C27/D27</f>
        <v>0</v>
      </c>
      <c r="H27" s="201"/>
      <c r="I27" s="202">
        <f>VLOOKUP(A27,ForexRange,2,FALSE)</f>
        <v>90.115300000000005</v>
      </c>
      <c r="J27" s="142">
        <f t="shared" si="15"/>
        <v>-1E-8</v>
      </c>
      <c r="K27" s="124">
        <f t="shared" si="16"/>
        <v>-1</v>
      </c>
      <c r="R27" s="127"/>
    </row>
    <row r="28" spans="1:22" ht="16.5" thickBot="1" x14ac:dyDescent="0.3">
      <c r="A28" s="179" t="s">
        <v>62</v>
      </c>
      <c r="B28" s="181"/>
      <c r="C28" s="171"/>
      <c r="D28" s="172">
        <f>SUM(D25:D27)</f>
        <v>11534.81000001</v>
      </c>
      <c r="E28" s="173"/>
      <c r="F28" s="173">
        <f>SUM(F25:F27)</f>
        <v>11435.297501751544</v>
      </c>
      <c r="G28" s="175"/>
      <c r="H28" s="183"/>
      <c r="I28" s="185"/>
      <c r="J28" s="176">
        <f t="shared" si="15"/>
        <v>-99.512498258456617</v>
      </c>
      <c r="K28" s="177">
        <f t="shared" ref="K28" si="19">J28/D28</f>
        <v>-8.6271467200907809E-3</v>
      </c>
    </row>
    <row r="29" spans="1:22" ht="15.75" thickBot="1" x14ac:dyDescent="0.3">
      <c r="A29" s="184" t="s">
        <v>66</v>
      </c>
    </row>
    <row r="30" spans="1:22" ht="16.5" thickBot="1" x14ac:dyDescent="0.3">
      <c r="A30" s="179" t="s">
        <v>67</v>
      </c>
      <c r="B30" s="181"/>
      <c r="C30" s="180"/>
      <c r="D30" s="172">
        <v>245</v>
      </c>
      <c r="E30" s="173"/>
      <c r="F30" s="173">
        <v>65</v>
      </c>
      <c r="G30" s="175"/>
      <c r="H30" s="183"/>
      <c r="I30" s="182"/>
      <c r="J30" s="176">
        <f>F30-D30</f>
        <v>-180</v>
      </c>
      <c r="K30" s="177"/>
    </row>
    <row r="31" spans="1:22" x14ac:dyDescent="0.25">
      <c r="D31" s="36"/>
    </row>
  </sheetData>
  <phoneticPr fontId="1" type="noConversion"/>
  <conditionalFormatting sqref="G1:H1 K1:W1 C5:E5">
    <cfRule type="cellIs" dxfId="53" priority="276" operator="lessThan">
      <formula>0</formula>
    </cfRule>
    <cfRule type="cellIs" dxfId="52" priority="277" operator="greaterThan">
      <formula>0</formula>
    </cfRule>
  </conditionalFormatting>
  <conditionalFormatting sqref="L5">
    <cfRule type="cellIs" dxfId="51" priority="169" operator="lessThan">
      <formula>0</formula>
    </cfRule>
    <cfRule type="cellIs" dxfId="50" priority="170" operator="greaterThan">
      <formula>0.05</formula>
    </cfRule>
  </conditionalFormatting>
  <conditionalFormatting sqref="C14 C8:C12 C17:C22">
    <cfRule type="cellIs" dxfId="49" priority="156" operator="greaterThan">
      <formula>0.0001</formula>
    </cfRule>
  </conditionalFormatting>
  <conditionalFormatting sqref="K26:K27 K23:K24 W8:W16 K8:K20">
    <cfRule type="cellIs" dxfId="48" priority="146" operator="greaterThan">
      <formula>0.05</formula>
    </cfRule>
    <cfRule type="cellIs" dxfId="47" priority="147" operator="between">
      <formula>0.01</formula>
      <formula>0.05</formula>
    </cfRule>
    <cfRule type="cellIs" dxfId="46" priority="148" operator="lessThan">
      <formula>0</formula>
    </cfRule>
  </conditionalFormatting>
  <conditionalFormatting sqref="J26:J27 J23:J24">
    <cfRule type="cellIs" dxfId="45" priority="142" operator="greaterThan">
      <formula>0</formula>
    </cfRule>
    <cfRule type="cellIs" dxfId="44" priority="143" operator="lessThan">
      <formula>0</formula>
    </cfRule>
  </conditionalFormatting>
  <conditionalFormatting sqref="K21:K22">
    <cfRule type="cellIs" dxfId="43" priority="106" operator="greaterThan">
      <formula>0.05</formula>
    </cfRule>
    <cfRule type="cellIs" dxfId="42" priority="107" operator="between">
      <formula>0.01</formula>
      <formula>0.05</formula>
    </cfRule>
    <cfRule type="cellIs" dxfId="41" priority="108" operator="lessThan">
      <formula>0</formula>
    </cfRule>
  </conditionalFormatting>
  <conditionalFormatting sqref="J21:J22">
    <cfRule type="cellIs" dxfId="40" priority="104" operator="greaterThan">
      <formula>0</formula>
    </cfRule>
    <cfRule type="cellIs" dxfId="39" priority="105" operator="lessThan">
      <formula>0</formula>
    </cfRule>
  </conditionalFormatting>
  <conditionalFormatting sqref="B5">
    <cfRule type="cellIs" dxfId="38" priority="82" operator="lessThan">
      <formula>0</formula>
    </cfRule>
    <cfRule type="cellIs" dxfId="37" priority="83" operator="greaterThan">
      <formula>0</formula>
    </cfRule>
  </conditionalFormatting>
  <conditionalFormatting sqref="F5">
    <cfRule type="cellIs" dxfId="36" priority="80" operator="lessThan">
      <formula>0</formula>
    </cfRule>
    <cfRule type="cellIs" dxfId="35" priority="81" operator="greaterThan">
      <formula>0</formula>
    </cfRule>
  </conditionalFormatting>
  <conditionalFormatting sqref="C13">
    <cfRule type="cellIs" dxfId="34" priority="64" operator="greaterThan">
      <formula>0.0001</formula>
    </cfRule>
  </conditionalFormatting>
  <conditionalFormatting sqref="C15:C16">
    <cfRule type="cellIs" dxfId="33" priority="45" operator="greaterThan">
      <formula>0.0001</formula>
    </cfRule>
  </conditionalFormatting>
  <conditionalFormatting sqref="C28">
    <cfRule type="cellIs" dxfId="32" priority="44" operator="greaterThan">
      <formula>0.0001</formula>
    </cfRule>
  </conditionalFormatting>
  <conditionalFormatting sqref="K28">
    <cfRule type="cellIs" dxfId="31" priority="41" operator="greaterThan">
      <formula>0.05</formula>
    </cfRule>
    <cfRule type="cellIs" dxfId="30" priority="42" operator="between">
      <formula>0.01</formula>
      <formula>0.05</formula>
    </cfRule>
    <cfRule type="cellIs" dxfId="29" priority="43" operator="lessThan">
      <formula>0</formula>
    </cfRule>
  </conditionalFormatting>
  <conditionalFormatting sqref="J28">
    <cfRule type="cellIs" dxfId="28" priority="39" operator="greaterThan">
      <formula>0</formula>
    </cfRule>
    <cfRule type="cellIs" dxfId="27" priority="40" operator="lessThan">
      <formula>0</formula>
    </cfRule>
  </conditionalFormatting>
  <conditionalFormatting sqref="C30">
    <cfRule type="cellIs" dxfId="26" priority="38" operator="greaterThan">
      <formula>0.0001</formula>
    </cfRule>
  </conditionalFormatting>
  <conditionalFormatting sqref="K30">
    <cfRule type="cellIs" dxfId="25" priority="35" operator="greaterThan">
      <formula>0.05</formula>
    </cfRule>
    <cfRule type="cellIs" dxfId="24" priority="36" operator="between">
      <formula>0.01</formula>
      <formula>0.05</formula>
    </cfRule>
    <cfRule type="cellIs" dxfId="23" priority="37" operator="lessThan">
      <formula>0</formula>
    </cfRule>
  </conditionalFormatting>
  <conditionalFormatting sqref="J30">
    <cfRule type="cellIs" dxfId="22" priority="33" operator="greaterThan">
      <formula>0</formula>
    </cfRule>
    <cfRule type="cellIs" dxfId="21" priority="34" operator="lessThan">
      <formula>0</formula>
    </cfRule>
  </conditionalFormatting>
  <conditionalFormatting sqref="C4:E4">
    <cfRule type="cellIs" dxfId="20" priority="31" operator="lessThan">
      <formula>0</formula>
    </cfRule>
    <cfRule type="cellIs" dxfId="19" priority="32" operator="greaterThan">
      <formula>0</formula>
    </cfRule>
  </conditionalFormatting>
  <conditionalFormatting sqref="B4">
    <cfRule type="cellIs" dxfId="18" priority="29" operator="lessThan">
      <formula>0</formula>
    </cfRule>
    <cfRule type="cellIs" dxfId="17" priority="30" operator="greaterThan">
      <formula>0</formula>
    </cfRule>
  </conditionalFormatting>
  <conditionalFormatting sqref="F4">
    <cfRule type="cellIs" dxfId="16" priority="27" operator="lessThan">
      <formula>0</formula>
    </cfRule>
    <cfRule type="cellIs" dxfId="15" priority="28" operator="greaterThan">
      <formula>0</formula>
    </cfRule>
  </conditionalFormatting>
  <conditionalFormatting sqref="C25">
    <cfRule type="cellIs" dxfId="14" priority="21" operator="greaterThan">
      <formula>0.0001</formula>
    </cfRule>
  </conditionalFormatting>
  <conditionalFormatting sqref="K25">
    <cfRule type="cellIs" dxfId="13" priority="18" operator="greaterThan">
      <formula>0.05</formula>
    </cfRule>
    <cfRule type="cellIs" dxfId="12" priority="19" operator="between">
      <formula>0.01</formula>
      <formula>0.05</formula>
    </cfRule>
    <cfRule type="cellIs" dxfId="11" priority="20" operator="lessThan">
      <formula>0</formula>
    </cfRule>
  </conditionalFormatting>
  <conditionalFormatting sqref="J25">
    <cfRule type="cellIs" dxfId="10" priority="16" operator="greaterThan">
      <formula>0</formula>
    </cfRule>
    <cfRule type="cellIs" dxfId="9" priority="17" operator="lessThan">
      <formula>0</formula>
    </cfRule>
  </conditionalFormatting>
  <conditionalFormatting sqref="V8">
    <cfRule type="cellIs" dxfId="8" priority="7" operator="greaterThan">
      <formula>0.05</formula>
    </cfRule>
    <cfRule type="cellIs" dxfId="7" priority="8" operator="between">
      <formula>0.01</formula>
      <formula>0.05</formula>
    </cfRule>
    <cfRule type="cellIs" dxfId="6" priority="9" operator="lessThan">
      <formula>0</formula>
    </cfRule>
  </conditionalFormatting>
  <conditionalFormatting sqref="V9:V15">
    <cfRule type="cellIs" dxfId="5" priority="4" operator="greaterThan">
      <formula>0.05</formula>
    </cfRule>
    <cfRule type="cellIs" dxfId="4" priority="5" operator="between">
      <formula>0.01</formula>
      <formula>0.05</formula>
    </cfRule>
    <cfRule type="cellIs" dxfId="3" priority="6" operator="lessThan">
      <formula>0</formula>
    </cfRule>
  </conditionalFormatting>
  <conditionalFormatting sqref="J8:J20">
    <cfRule type="colorScale" priority="422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8</xdr:col>
                    <xdr:colOff>9525</xdr:colOff>
                    <xdr:row>20</xdr:row>
                    <xdr:rowOff>0</xdr:rowOff>
                  </from>
                  <to>
                    <xdr:col>9</xdr:col>
                    <xdr:colOff>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Forex">
                <anchor moveWithCells="1">
                  <from>
                    <xdr:col>11</xdr:col>
                    <xdr:colOff>200025</xdr:colOff>
                    <xdr:row>21</xdr:row>
                    <xdr:rowOff>9525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Balances">
                <anchor moveWithCells="1" sizeWithCells="1">
                  <from>
                    <xdr:col>2</xdr:col>
                    <xdr:colOff>9525</xdr:colOff>
                    <xdr:row>20</xdr:row>
                    <xdr:rowOff>0</xdr:rowOff>
                  </from>
                  <to>
                    <xdr:col>3</xdr:col>
                    <xdr:colOff>9525</xdr:colOff>
                    <xdr:row>20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30"/>
  <sheetViews>
    <sheetView workbookViewId="0"/>
  </sheetViews>
  <sheetFormatPr defaultRowHeight="15" x14ac:dyDescent="0.25"/>
  <sheetData>
    <row r="1" spans="1:2" x14ac:dyDescent="0.25">
      <c r="A1" t="str">
        <f t="array" ref="A1:B30">_xll.Kraken.GetBalances()</f>
        <v>ZUSD</v>
      </c>
      <c r="B1">
        <v>1701.962</v>
      </c>
    </row>
    <row r="2" spans="1:2" x14ac:dyDescent="0.25">
      <c r="A2" t="str">
        <v>ZEUR</v>
      </c>
      <c r="B2">
        <v>1E-4</v>
      </c>
    </row>
    <row r="3" spans="1:2" x14ac:dyDescent="0.25">
      <c r="A3" t="str">
        <v>XXBT</v>
      </c>
      <c r="B3">
        <v>1.9000000000000001E-9</v>
      </c>
    </row>
    <row r="4" spans="1:2" x14ac:dyDescent="0.25">
      <c r="A4" t="str">
        <v>XXRP</v>
      </c>
      <c r="B4">
        <v>3.2000000000000001E-7</v>
      </c>
    </row>
    <row r="5" spans="1:2" x14ac:dyDescent="0.25">
      <c r="A5" t="str">
        <v>XLTC</v>
      </c>
      <c r="B5">
        <v>8.9999999999999999E-8</v>
      </c>
    </row>
    <row r="6" spans="1:2" x14ac:dyDescent="0.25">
      <c r="A6" t="str">
        <v>XXLM</v>
      </c>
      <c r="B6">
        <v>0</v>
      </c>
    </row>
    <row r="7" spans="1:2" x14ac:dyDescent="0.25">
      <c r="A7" t="str">
        <v>XETH</v>
      </c>
      <c r="B7">
        <v>2.2799999999999999E-8</v>
      </c>
    </row>
    <row r="8" spans="1:2" x14ac:dyDescent="0.25">
      <c r="A8" t="str">
        <v>XETC</v>
      </c>
      <c r="B8">
        <v>7.0000000000000005E-8</v>
      </c>
    </row>
    <row r="9" spans="1:2" x14ac:dyDescent="0.25">
      <c r="A9" t="str">
        <v>XZEC</v>
      </c>
      <c r="B9">
        <v>0</v>
      </c>
    </row>
    <row r="10" spans="1:2" x14ac:dyDescent="0.25">
      <c r="A10" t="str">
        <v>XXMR</v>
      </c>
      <c r="B10">
        <v>0</v>
      </c>
    </row>
    <row r="11" spans="1:2" x14ac:dyDescent="0.25">
      <c r="A11" t="str">
        <v>DASH</v>
      </c>
      <c r="B11">
        <v>4.0000000000000001E-8</v>
      </c>
    </row>
    <row r="12" spans="1:2" x14ac:dyDescent="0.25">
      <c r="A12" t="str">
        <v>EOS</v>
      </c>
      <c r="B12">
        <v>0</v>
      </c>
    </row>
    <row r="13" spans="1:2" x14ac:dyDescent="0.25">
      <c r="A13" t="str">
        <v>BCH</v>
      </c>
      <c r="B13">
        <v>0</v>
      </c>
    </row>
    <row r="14" spans="1:2" x14ac:dyDescent="0.25">
      <c r="A14" t="str">
        <v>XTZ</v>
      </c>
      <c r="B14">
        <v>2E-8</v>
      </c>
    </row>
    <row r="15" spans="1:2" x14ac:dyDescent="0.25">
      <c r="A15" t="str">
        <v>ATOM</v>
      </c>
      <c r="B15">
        <v>0</v>
      </c>
    </row>
    <row r="16" spans="1:2" x14ac:dyDescent="0.25">
      <c r="A16" t="str">
        <v>SC</v>
      </c>
      <c r="B16">
        <v>0</v>
      </c>
    </row>
    <row r="17" spans="1:2" x14ac:dyDescent="0.25">
      <c r="A17" t="str">
        <v>LINK</v>
      </c>
      <c r="B17">
        <v>0</v>
      </c>
    </row>
    <row r="18" spans="1:2" x14ac:dyDescent="0.25">
      <c r="A18" t="str">
        <v>TRX</v>
      </c>
      <c r="B18">
        <v>0</v>
      </c>
    </row>
    <row r="19" spans="1:2" x14ac:dyDescent="0.25">
      <c r="A19" t="str">
        <v>KAVA</v>
      </c>
      <c r="B19">
        <v>0</v>
      </c>
    </row>
    <row r="20" spans="1:2" x14ac:dyDescent="0.25">
      <c r="A20" t="e">
        <v>#N/A</v>
      </c>
      <c r="B20" t="e">
        <v>#N/A</v>
      </c>
    </row>
    <row r="21" spans="1:2" x14ac:dyDescent="0.25">
      <c r="A21" t="e">
        <v>#N/A</v>
      </c>
      <c r="B21" t="e">
        <v>#N/A</v>
      </c>
    </row>
    <row r="22" spans="1:2" x14ac:dyDescent="0.25">
      <c r="A22" t="e">
        <v>#N/A</v>
      </c>
      <c r="B22" t="e">
        <v>#N/A</v>
      </c>
    </row>
    <row r="23" spans="1:2" x14ac:dyDescent="0.25">
      <c r="A23" t="e">
        <v>#N/A</v>
      </c>
      <c r="B23" t="e">
        <v>#N/A</v>
      </c>
    </row>
    <row r="24" spans="1:2" x14ac:dyDescent="0.25">
      <c r="A24" t="e">
        <v>#N/A</v>
      </c>
      <c r="B24" t="e">
        <v>#N/A</v>
      </c>
    </row>
    <row r="25" spans="1:2" x14ac:dyDescent="0.25">
      <c r="A25" t="e">
        <v>#N/A</v>
      </c>
      <c r="B25" t="e">
        <v>#N/A</v>
      </c>
    </row>
    <row r="26" spans="1:2" x14ac:dyDescent="0.25">
      <c r="A26" t="e">
        <v>#N/A</v>
      </c>
      <c r="B26" t="e">
        <v>#N/A</v>
      </c>
    </row>
    <row r="27" spans="1:2" x14ac:dyDescent="0.25">
      <c r="A27" t="e">
        <v>#N/A</v>
      </c>
      <c r="B27" t="e">
        <v>#N/A</v>
      </c>
    </row>
    <row r="28" spans="1:2" x14ac:dyDescent="0.25">
      <c r="A28" t="e">
        <v>#N/A</v>
      </c>
      <c r="B28" t="e">
        <v>#N/A</v>
      </c>
    </row>
    <row r="29" spans="1:2" x14ac:dyDescent="0.25">
      <c r="A29" t="e">
        <v>#N/A</v>
      </c>
      <c r="B29" t="e">
        <v>#N/A</v>
      </c>
    </row>
    <row r="30" spans="1:2" x14ac:dyDescent="0.25">
      <c r="A30" t="e">
        <v>#N/A</v>
      </c>
      <c r="B30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8" bestFit="1" customWidth="1"/>
    <col min="4" max="4" width="14.7109375" bestFit="1" customWidth="1"/>
  </cols>
  <sheetData>
    <row r="1" spans="1:4" x14ac:dyDescent="0.25">
      <c r="A1" t="str">
        <f t="array" ref="A1:C100">_xll.Kraken.GetPrices(Portfolio!B8:B50)</f>
        <v>KAVAEUR</v>
      </c>
      <c r="B1" s="8">
        <v>1.3632</v>
      </c>
      <c r="C1" s="8">
        <v>1.3509</v>
      </c>
      <c r="D1" s="8">
        <f>AVERAGE(B1:C1)</f>
        <v>1.3570500000000001</v>
      </c>
    </row>
    <row r="2" spans="1:4" x14ac:dyDescent="0.25">
      <c r="A2" t="str">
        <v>KAVAXBT</v>
      </c>
      <c r="B2" s="8">
        <v>9.3999999999999994E-5</v>
      </c>
      <c r="C2" s="8">
        <v>9.3560000000000005E-5</v>
      </c>
      <c r="D2" s="8">
        <f t="shared" ref="D2:D65" si="0">AVERAGE(B2:C2)</f>
        <v>9.378E-5</v>
      </c>
    </row>
    <row r="3" spans="1:4" x14ac:dyDescent="0.25">
      <c r="A3" t="str">
        <v>LINKEUR</v>
      </c>
      <c r="B3" s="8">
        <v>10.46115</v>
      </c>
      <c r="C3" s="8">
        <v>10.45027</v>
      </c>
      <c r="D3" s="8">
        <f t="shared" si="0"/>
        <v>10.45571</v>
      </c>
    </row>
    <row r="4" spans="1:4" x14ac:dyDescent="0.25">
      <c r="A4" t="str">
        <v>LINKXBT</v>
      </c>
      <c r="B4" s="8">
        <v>7.2269000000000001E-4</v>
      </c>
      <c r="C4" s="8">
        <v>7.2114E-4</v>
      </c>
      <c r="D4" s="8">
        <f t="shared" si="0"/>
        <v>7.2191500000000006E-4</v>
      </c>
    </row>
    <row r="5" spans="1:4" x14ac:dyDescent="0.25">
      <c r="A5" t="str">
        <v>XETHXXBT</v>
      </c>
      <c r="B5" s="8">
        <v>3.0110000000000001E-2</v>
      </c>
      <c r="C5" s="8">
        <v>3.0099999999999998E-2</v>
      </c>
      <c r="D5" s="8">
        <f t="shared" si="0"/>
        <v>3.0105E-2</v>
      </c>
    </row>
    <row r="6" spans="1:4" x14ac:dyDescent="0.25">
      <c r="A6" t="str">
        <v>XETHZUSD</v>
      </c>
      <c r="B6" s="8">
        <v>518.98</v>
      </c>
      <c r="C6" s="8">
        <v>518.97</v>
      </c>
      <c r="D6" s="8">
        <f t="shared" si="0"/>
        <v>518.97500000000002</v>
      </c>
    </row>
    <row r="7" spans="1:4" x14ac:dyDescent="0.25">
      <c r="A7" t="str">
        <v>XTZEUR</v>
      </c>
      <c r="B7" s="8">
        <v>1.9996</v>
      </c>
      <c r="C7" s="8">
        <v>1.9966999999999999</v>
      </c>
      <c r="D7" s="8">
        <f t="shared" si="0"/>
        <v>1.9981499999999999</v>
      </c>
    </row>
    <row r="8" spans="1:4" x14ac:dyDescent="0.25">
      <c r="A8" t="str">
        <v>XTZXBT</v>
      </c>
      <c r="B8" s="8">
        <v>1.3789999999999999E-4</v>
      </c>
      <c r="C8" s="8">
        <v>1.3760000000000001E-4</v>
      </c>
      <c r="D8" s="8">
        <f t="shared" si="0"/>
        <v>1.3775000000000001E-4</v>
      </c>
    </row>
    <row r="9" spans="1:4" x14ac:dyDescent="0.25">
      <c r="A9" t="str">
        <v>XXBTZEUR</v>
      </c>
      <c r="B9" s="8">
        <v>14497.7</v>
      </c>
      <c r="C9" s="8">
        <v>14493.8</v>
      </c>
      <c r="D9" s="8">
        <f t="shared" si="0"/>
        <v>14495.75</v>
      </c>
    </row>
    <row r="10" spans="1:4" x14ac:dyDescent="0.25">
      <c r="A10" t="str">
        <v>XXBTZUSD</v>
      </c>
      <c r="B10" s="8">
        <v>17241.2</v>
      </c>
      <c r="C10" s="8">
        <v>17233.8</v>
      </c>
      <c r="D10" s="8">
        <f t="shared" si="0"/>
        <v>17237.5</v>
      </c>
    </row>
    <row r="11" spans="1:4" x14ac:dyDescent="0.25">
      <c r="A11" t="str">
        <v>XXRPXXBT</v>
      </c>
      <c r="B11" s="8">
        <v>3.0859999999999999E-5</v>
      </c>
      <c r="C11" s="8">
        <v>3.0769999999999998E-5</v>
      </c>
      <c r="D11" s="8">
        <f t="shared" si="0"/>
        <v>3.0814999999999995E-5</v>
      </c>
    </row>
    <row r="12" spans="1:4" x14ac:dyDescent="0.25">
      <c r="A12" t="str">
        <v>XXRPZEUR</v>
      </c>
      <c r="B12" s="8">
        <v>0.44712000000000002</v>
      </c>
      <c r="C12" s="8">
        <v>0.44640000000000002</v>
      </c>
      <c r="D12" s="8">
        <f t="shared" si="0"/>
        <v>0.44676000000000005</v>
      </c>
    </row>
    <row r="13" spans="1:4" x14ac:dyDescent="0.25">
      <c r="A13" t="e">
        <v>#N/A</v>
      </c>
      <c r="B13" s="8" t="e">
        <v>#N/A</v>
      </c>
      <c r="C13" s="8" t="e">
        <v>#N/A</v>
      </c>
      <c r="D13" s="8" t="e">
        <f t="shared" si="0"/>
        <v>#N/A</v>
      </c>
    </row>
    <row r="14" spans="1:4" x14ac:dyDescent="0.25">
      <c r="A14" t="e">
        <v>#N/A</v>
      </c>
      <c r="B14" s="8" t="e">
        <v>#N/A</v>
      </c>
      <c r="C14" s="8" t="e">
        <v>#N/A</v>
      </c>
      <c r="D14" s="8" t="e">
        <f t="shared" si="0"/>
        <v>#N/A</v>
      </c>
    </row>
    <row r="15" spans="1:4" x14ac:dyDescent="0.25">
      <c r="A15" t="e">
        <v>#N/A</v>
      </c>
      <c r="B15" s="8" t="e">
        <v>#N/A</v>
      </c>
      <c r="C15" s="8" t="e">
        <v>#N/A</v>
      </c>
      <c r="D15" s="8" t="e">
        <f t="shared" si="0"/>
        <v>#N/A</v>
      </c>
    </row>
    <row r="16" spans="1:4" x14ac:dyDescent="0.25">
      <c r="A16" t="e">
        <v>#N/A</v>
      </c>
      <c r="B16" s="8" t="e">
        <v>#N/A</v>
      </c>
      <c r="C16" s="8" t="e">
        <v>#N/A</v>
      </c>
      <c r="D16" s="8" t="e">
        <f t="shared" si="0"/>
        <v>#N/A</v>
      </c>
    </row>
    <row r="17" spans="1:4" x14ac:dyDescent="0.25">
      <c r="A17" t="e">
        <v>#N/A</v>
      </c>
      <c r="B17" s="8" t="e">
        <v>#N/A</v>
      </c>
      <c r="C17" s="8" t="e">
        <v>#N/A</v>
      </c>
      <c r="D17" s="8" t="e">
        <f t="shared" si="0"/>
        <v>#N/A</v>
      </c>
    </row>
    <row r="18" spans="1:4" x14ac:dyDescent="0.25">
      <c r="A18" t="e">
        <v>#N/A</v>
      </c>
      <c r="B18" s="8" t="e">
        <v>#N/A</v>
      </c>
      <c r="C18" s="8" t="e">
        <v>#N/A</v>
      </c>
      <c r="D18" s="8" t="e">
        <f t="shared" si="0"/>
        <v>#N/A</v>
      </c>
    </row>
    <row r="19" spans="1:4" x14ac:dyDescent="0.25">
      <c r="A19" t="e">
        <v>#N/A</v>
      </c>
      <c r="B19" s="8" t="e">
        <v>#N/A</v>
      </c>
      <c r="C19" s="8" t="e">
        <v>#N/A</v>
      </c>
      <c r="D19" s="8" t="e">
        <f t="shared" si="0"/>
        <v>#N/A</v>
      </c>
    </row>
    <row r="20" spans="1:4" x14ac:dyDescent="0.25">
      <c r="A20" t="e">
        <v>#N/A</v>
      </c>
      <c r="B20" s="8" t="e">
        <v>#N/A</v>
      </c>
      <c r="C20" s="8" t="e">
        <v>#N/A</v>
      </c>
      <c r="D20" s="8" t="e">
        <f t="shared" si="0"/>
        <v>#N/A</v>
      </c>
    </row>
    <row r="21" spans="1:4" x14ac:dyDescent="0.25">
      <c r="A21" t="e">
        <v>#N/A</v>
      </c>
      <c r="B21" s="8" t="e">
        <v>#N/A</v>
      </c>
      <c r="C21" s="8" t="e">
        <v>#N/A</v>
      </c>
      <c r="D21" s="8" t="e">
        <f t="shared" si="0"/>
        <v>#N/A</v>
      </c>
    </row>
    <row r="22" spans="1:4" x14ac:dyDescent="0.25">
      <c r="A22" t="e">
        <v>#N/A</v>
      </c>
      <c r="B22" s="8" t="e">
        <v>#N/A</v>
      </c>
      <c r="C22" s="8" t="e">
        <v>#N/A</v>
      </c>
      <c r="D22" s="8" t="e">
        <f t="shared" si="0"/>
        <v>#N/A</v>
      </c>
    </row>
    <row r="23" spans="1:4" x14ac:dyDescent="0.25">
      <c r="A23" t="e">
        <v>#N/A</v>
      </c>
      <c r="B23" s="8" t="e">
        <v>#N/A</v>
      </c>
      <c r="C23" s="8" t="e">
        <v>#N/A</v>
      </c>
      <c r="D23" s="8" t="e">
        <f t="shared" si="0"/>
        <v>#N/A</v>
      </c>
    </row>
    <row r="24" spans="1:4" x14ac:dyDescent="0.25">
      <c r="A24" t="e">
        <v>#N/A</v>
      </c>
      <c r="B24" s="8" t="e">
        <v>#N/A</v>
      </c>
      <c r="C24" s="8" t="e">
        <v>#N/A</v>
      </c>
      <c r="D24" s="8" t="e">
        <f t="shared" si="0"/>
        <v>#N/A</v>
      </c>
    </row>
    <row r="25" spans="1:4" x14ac:dyDescent="0.25">
      <c r="A25" t="e">
        <v>#N/A</v>
      </c>
      <c r="B25" s="8" t="e">
        <v>#N/A</v>
      </c>
      <c r="C25" s="8" t="e">
        <v>#N/A</v>
      </c>
      <c r="D25" s="8" t="e">
        <f t="shared" si="0"/>
        <v>#N/A</v>
      </c>
    </row>
    <row r="26" spans="1:4" x14ac:dyDescent="0.25">
      <c r="A26" t="e">
        <v>#N/A</v>
      </c>
      <c r="B26" s="8" t="e">
        <v>#N/A</v>
      </c>
      <c r="C26" s="8" t="e">
        <v>#N/A</v>
      </c>
      <c r="D26" s="8" t="e">
        <f t="shared" si="0"/>
        <v>#N/A</v>
      </c>
    </row>
    <row r="27" spans="1:4" x14ac:dyDescent="0.25">
      <c r="A27" t="e">
        <v>#N/A</v>
      </c>
      <c r="B27" s="8" t="e">
        <v>#N/A</v>
      </c>
      <c r="C27" s="8" t="e">
        <v>#N/A</v>
      </c>
      <c r="D27" s="8" t="e">
        <f t="shared" si="0"/>
        <v>#N/A</v>
      </c>
    </row>
    <row r="28" spans="1:4" x14ac:dyDescent="0.25">
      <c r="A28" t="e">
        <v>#N/A</v>
      </c>
      <c r="B28" s="8" t="e">
        <v>#N/A</v>
      </c>
      <c r="C28" s="8" t="e">
        <v>#N/A</v>
      </c>
      <c r="D28" s="8" t="e">
        <f t="shared" si="0"/>
        <v>#N/A</v>
      </c>
    </row>
    <row r="29" spans="1:4" x14ac:dyDescent="0.25">
      <c r="A29" t="e">
        <v>#N/A</v>
      </c>
      <c r="B29" s="8" t="e">
        <v>#N/A</v>
      </c>
      <c r="C29" s="8" t="e">
        <v>#N/A</v>
      </c>
      <c r="D29" s="8" t="e">
        <f t="shared" si="0"/>
        <v>#N/A</v>
      </c>
    </row>
    <row r="30" spans="1:4" x14ac:dyDescent="0.25">
      <c r="A30" t="e">
        <v>#N/A</v>
      </c>
      <c r="B30" s="8" t="e">
        <v>#N/A</v>
      </c>
      <c r="C30" s="8" t="e">
        <v>#N/A</v>
      </c>
      <c r="D30" s="8" t="e">
        <f t="shared" si="0"/>
        <v>#N/A</v>
      </c>
    </row>
    <row r="31" spans="1:4" x14ac:dyDescent="0.25">
      <c r="A31" t="e">
        <v>#N/A</v>
      </c>
      <c r="B31" s="8" t="e">
        <v>#N/A</v>
      </c>
      <c r="C31" s="8" t="e">
        <v>#N/A</v>
      </c>
      <c r="D31" s="8" t="e">
        <f t="shared" si="0"/>
        <v>#N/A</v>
      </c>
    </row>
    <row r="32" spans="1:4" x14ac:dyDescent="0.25">
      <c r="A32" t="e">
        <v>#N/A</v>
      </c>
      <c r="B32" s="8" t="e">
        <v>#N/A</v>
      </c>
      <c r="C32" s="8" t="e">
        <v>#N/A</v>
      </c>
      <c r="D32" s="8" t="e">
        <f t="shared" si="0"/>
        <v>#N/A</v>
      </c>
    </row>
    <row r="33" spans="1:4" x14ac:dyDescent="0.25">
      <c r="A33" t="e">
        <v>#N/A</v>
      </c>
      <c r="B33" s="8" t="e">
        <v>#N/A</v>
      </c>
      <c r="C33" s="8" t="e">
        <v>#N/A</v>
      </c>
      <c r="D33" s="8" t="e">
        <f t="shared" si="0"/>
        <v>#N/A</v>
      </c>
    </row>
    <row r="34" spans="1:4" x14ac:dyDescent="0.25">
      <c r="A34" t="e">
        <v>#N/A</v>
      </c>
      <c r="B34" s="8" t="e">
        <v>#N/A</v>
      </c>
      <c r="C34" s="8" t="e">
        <v>#N/A</v>
      </c>
      <c r="D34" s="8" t="e">
        <f t="shared" si="0"/>
        <v>#N/A</v>
      </c>
    </row>
    <row r="35" spans="1:4" x14ac:dyDescent="0.25">
      <c r="A35" t="e">
        <v>#N/A</v>
      </c>
      <c r="B35" s="8" t="e">
        <v>#N/A</v>
      </c>
      <c r="C35" s="8" t="e">
        <v>#N/A</v>
      </c>
      <c r="D35" s="8" t="e">
        <f t="shared" si="0"/>
        <v>#N/A</v>
      </c>
    </row>
    <row r="36" spans="1:4" x14ac:dyDescent="0.25">
      <c r="A36" t="e">
        <v>#N/A</v>
      </c>
      <c r="B36" s="8" t="e">
        <v>#N/A</v>
      </c>
      <c r="C36" s="8" t="e">
        <v>#N/A</v>
      </c>
      <c r="D36" s="8" t="e">
        <f t="shared" si="0"/>
        <v>#N/A</v>
      </c>
    </row>
    <row r="37" spans="1:4" x14ac:dyDescent="0.25">
      <c r="A37" t="e">
        <v>#N/A</v>
      </c>
      <c r="B37" s="8" t="e">
        <v>#N/A</v>
      </c>
      <c r="C37" s="8" t="e">
        <v>#N/A</v>
      </c>
      <c r="D37" s="8" t="e">
        <f t="shared" si="0"/>
        <v>#N/A</v>
      </c>
    </row>
    <row r="38" spans="1:4" x14ac:dyDescent="0.25">
      <c r="A38" t="e">
        <v>#N/A</v>
      </c>
      <c r="B38" s="8" t="e">
        <v>#N/A</v>
      </c>
      <c r="C38" s="8" t="e">
        <v>#N/A</v>
      </c>
      <c r="D38" s="8" t="e">
        <f t="shared" si="0"/>
        <v>#N/A</v>
      </c>
    </row>
    <row r="39" spans="1:4" x14ac:dyDescent="0.25">
      <c r="A39" t="e">
        <v>#N/A</v>
      </c>
      <c r="B39" s="8" t="e">
        <v>#N/A</v>
      </c>
      <c r="C39" s="8" t="e">
        <v>#N/A</v>
      </c>
      <c r="D39" s="8" t="e">
        <f t="shared" si="0"/>
        <v>#N/A</v>
      </c>
    </row>
    <row r="40" spans="1:4" x14ac:dyDescent="0.25">
      <c r="A40" t="e">
        <v>#N/A</v>
      </c>
      <c r="B40" s="8" t="e">
        <v>#N/A</v>
      </c>
      <c r="C40" s="8" t="e">
        <v>#N/A</v>
      </c>
      <c r="D40" s="8" t="e">
        <f t="shared" si="0"/>
        <v>#N/A</v>
      </c>
    </row>
    <row r="41" spans="1:4" x14ac:dyDescent="0.25">
      <c r="A41" t="e">
        <v>#N/A</v>
      </c>
      <c r="B41" s="8" t="e">
        <v>#N/A</v>
      </c>
      <c r="C41" s="8" t="e">
        <v>#N/A</v>
      </c>
      <c r="D41" s="8" t="e">
        <f t="shared" si="0"/>
        <v>#N/A</v>
      </c>
    </row>
    <row r="42" spans="1:4" x14ac:dyDescent="0.25">
      <c r="A42" t="e">
        <v>#N/A</v>
      </c>
      <c r="B42" s="8" t="e">
        <v>#N/A</v>
      </c>
      <c r="C42" s="8" t="e">
        <v>#N/A</v>
      </c>
      <c r="D42" s="8" t="e">
        <f t="shared" si="0"/>
        <v>#N/A</v>
      </c>
    </row>
    <row r="43" spans="1:4" x14ac:dyDescent="0.25">
      <c r="A43" t="e">
        <v>#N/A</v>
      </c>
      <c r="B43" s="8" t="e">
        <v>#N/A</v>
      </c>
      <c r="C43" s="8" t="e">
        <v>#N/A</v>
      </c>
      <c r="D43" s="8" t="e">
        <f t="shared" si="0"/>
        <v>#N/A</v>
      </c>
    </row>
    <row r="44" spans="1:4" x14ac:dyDescent="0.25">
      <c r="A44" t="e">
        <v>#N/A</v>
      </c>
      <c r="B44" s="8" t="e">
        <v>#N/A</v>
      </c>
      <c r="C44" s="8" t="e">
        <v>#N/A</v>
      </c>
      <c r="D44" s="8" t="e">
        <f t="shared" si="0"/>
        <v>#N/A</v>
      </c>
    </row>
    <row r="45" spans="1:4" x14ac:dyDescent="0.25">
      <c r="A45" t="e">
        <v>#N/A</v>
      </c>
      <c r="B45" s="8" t="e">
        <v>#N/A</v>
      </c>
      <c r="C45" s="8" t="e">
        <v>#N/A</v>
      </c>
      <c r="D45" s="8" t="e">
        <f t="shared" si="0"/>
        <v>#N/A</v>
      </c>
    </row>
    <row r="46" spans="1:4" x14ac:dyDescent="0.25">
      <c r="A46" t="e">
        <v>#N/A</v>
      </c>
      <c r="B46" s="8" t="e">
        <v>#N/A</v>
      </c>
      <c r="C46" s="8" t="e">
        <v>#N/A</v>
      </c>
      <c r="D46" s="8" t="e">
        <f t="shared" si="0"/>
        <v>#N/A</v>
      </c>
    </row>
    <row r="47" spans="1:4" x14ac:dyDescent="0.25">
      <c r="A47" t="e">
        <v>#N/A</v>
      </c>
      <c r="B47" s="8" t="e">
        <v>#N/A</v>
      </c>
      <c r="C47" s="8" t="e">
        <v>#N/A</v>
      </c>
      <c r="D47" s="8" t="e">
        <f t="shared" si="0"/>
        <v>#N/A</v>
      </c>
    </row>
    <row r="48" spans="1:4" x14ac:dyDescent="0.25">
      <c r="A48" t="e">
        <v>#N/A</v>
      </c>
      <c r="B48" s="8" t="e">
        <v>#N/A</v>
      </c>
      <c r="C48" s="8" t="e">
        <v>#N/A</v>
      </c>
      <c r="D48" s="8" t="e">
        <f t="shared" si="0"/>
        <v>#N/A</v>
      </c>
    </row>
    <row r="49" spans="1:4" x14ac:dyDescent="0.25">
      <c r="A49" t="e">
        <v>#N/A</v>
      </c>
      <c r="B49" s="8" t="e">
        <v>#N/A</v>
      </c>
      <c r="C49" s="8" t="e">
        <v>#N/A</v>
      </c>
      <c r="D49" s="8" t="e">
        <f t="shared" si="0"/>
        <v>#N/A</v>
      </c>
    </row>
    <row r="50" spans="1:4" x14ac:dyDescent="0.25">
      <c r="A50" t="e">
        <v>#N/A</v>
      </c>
      <c r="B50" s="8" t="e">
        <v>#N/A</v>
      </c>
      <c r="C50" s="8" t="e">
        <v>#N/A</v>
      </c>
      <c r="D50" s="8" t="e">
        <f t="shared" si="0"/>
        <v>#N/A</v>
      </c>
    </row>
    <row r="51" spans="1:4" x14ac:dyDescent="0.25">
      <c r="A51" t="e">
        <v>#N/A</v>
      </c>
      <c r="B51" s="8" t="e">
        <v>#N/A</v>
      </c>
      <c r="C51" s="8" t="e">
        <v>#N/A</v>
      </c>
      <c r="D51" s="8" t="e">
        <f t="shared" si="0"/>
        <v>#N/A</v>
      </c>
    </row>
    <row r="52" spans="1:4" x14ac:dyDescent="0.25">
      <c r="A52" t="e">
        <v>#N/A</v>
      </c>
      <c r="B52" s="8" t="e">
        <v>#N/A</v>
      </c>
      <c r="C52" s="8" t="e">
        <v>#N/A</v>
      </c>
      <c r="D52" s="8" t="e">
        <f t="shared" si="0"/>
        <v>#N/A</v>
      </c>
    </row>
    <row r="53" spans="1:4" x14ac:dyDescent="0.25">
      <c r="A53" t="e">
        <v>#N/A</v>
      </c>
      <c r="B53" s="8" t="e">
        <v>#N/A</v>
      </c>
      <c r="C53" s="8" t="e">
        <v>#N/A</v>
      </c>
      <c r="D53" s="8" t="e">
        <f t="shared" si="0"/>
        <v>#N/A</v>
      </c>
    </row>
    <row r="54" spans="1:4" x14ac:dyDescent="0.25">
      <c r="A54" t="e">
        <v>#N/A</v>
      </c>
      <c r="B54" s="8" t="e">
        <v>#N/A</v>
      </c>
      <c r="C54" s="8" t="e">
        <v>#N/A</v>
      </c>
      <c r="D54" s="8" t="e">
        <f t="shared" si="0"/>
        <v>#N/A</v>
      </c>
    </row>
    <row r="55" spans="1:4" x14ac:dyDescent="0.25">
      <c r="A55" t="e">
        <v>#N/A</v>
      </c>
      <c r="B55" s="8" t="e">
        <v>#N/A</v>
      </c>
      <c r="C55" s="8" t="e">
        <v>#N/A</v>
      </c>
      <c r="D55" s="8" t="e">
        <f t="shared" si="0"/>
        <v>#N/A</v>
      </c>
    </row>
    <row r="56" spans="1:4" x14ac:dyDescent="0.25">
      <c r="A56" t="e">
        <v>#N/A</v>
      </c>
      <c r="B56" s="8" t="e">
        <v>#N/A</v>
      </c>
      <c r="C56" s="8" t="e">
        <v>#N/A</v>
      </c>
      <c r="D56" s="8" t="e">
        <f t="shared" si="0"/>
        <v>#N/A</v>
      </c>
    </row>
    <row r="57" spans="1:4" x14ac:dyDescent="0.25">
      <c r="A57" t="e">
        <v>#N/A</v>
      </c>
      <c r="B57" s="8" t="e">
        <v>#N/A</v>
      </c>
      <c r="C57" s="8" t="e">
        <v>#N/A</v>
      </c>
      <c r="D57" s="8" t="e">
        <f t="shared" si="0"/>
        <v>#N/A</v>
      </c>
    </row>
    <row r="58" spans="1:4" x14ac:dyDescent="0.25">
      <c r="A58" t="e">
        <v>#N/A</v>
      </c>
      <c r="B58" s="8" t="e">
        <v>#N/A</v>
      </c>
      <c r="C58" s="8" t="e">
        <v>#N/A</v>
      </c>
      <c r="D58" s="8" t="e">
        <f t="shared" si="0"/>
        <v>#N/A</v>
      </c>
    </row>
    <row r="59" spans="1:4" x14ac:dyDescent="0.25">
      <c r="A59" t="e">
        <v>#N/A</v>
      </c>
      <c r="B59" s="8" t="e">
        <v>#N/A</v>
      </c>
      <c r="C59" s="8" t="e">
        <v>#N/A</v>
      </c>
      <c r="D59" s="8" t="e">
        <f t="shared" si="0"/>
        <v>#N/A</v>
      </c>
    </row>
    <row r="60" spans="1:4" x14ac:dyDescent="0.25">
      <c r="A60" t="e">
        <v>#N/A</v>
      </c>
      <c r="B60" s="8" t="e">
        <v>#N/A</v>
      </c>
      <c r="C60" s="8" t="e">
        <v>#N/A</v>
      </c>
      <c r="D60" s="8" t="e">
        <f t="shared" si="0"/>
        <v>#N/A</v>
      </c>
    </row>
    <row r="61" spans="1:4" x14ac:dyDescent="0.25">
      <c r="A61" t="e">
        <v>#N/A</v>
      </c>
      <c r="B61" s="8" t="e">
        <v>#N/A</v>
      </c>
      <c r="C61" s="8" t="e">
        <v>#N/A</v>
      </c>
      <c r="D61" s="8" t="e">
        <f t="shared" si="0"/>
        <v>#N/A</v>
      </c>
    </row>
    <row r="62" spans="1:4" x14ac:dyDescent="0.25">
      <c r="A62" t="e">
        <v>#N/A</v>
      </c>
      <c r="B62" s="8" t="e">
        <v>#N/A</v>
      </c>
      <c r="C62" s="8" t="e">
        <v>#N/A</v>
      </c>
      <c r="D62" s="8" t="e">
        <f t="shared" si="0"/>
        <v>#N/A</v>
      </c>
    </row>
    <row r="63" spans="1:4" x14ac:dyDescent="0.25">
      <c r="A63" t="e">
        <v>#N/A</v>
      </c>
      <c r="B63" s="8" t="e">
        <v>#N/A</v>
      </c>
      <c r="C63" s="8" t="e">
        <v>#N/A</v>
      </c>
      <c r="D63" s="8" t="e">
        <f t="shared" si="0"/>
        <v>#N/A</v>
      </c>
    </row>
    <row r="64" spans="1:4" x14ac:dyDescent="0.25">
      <c r="A64" t="e">
        <v>#N/A</v>
      </c>
      <c r="B64" s="8" t="e">
        <v>#N/A</v>
      </c>
      <c r="C64" s="8" t="e">
        <v>#N/A</v>
      </c>
      <c r="D64" s="8" t="e">
        <f t="shared" si="0"/>
        <v>#N/A</v>
      </c>
    </row>
    <row r="65" spans="1:4" x14ac:dyDescent="0.25">
      <c r="A65" t="e">
        <v>#N/A</v>
      </c>
      <c r="B65" s="8" t="e">
        <v>#N/A</v>
      </c>
      <c r="C65" s="8" t="e">
        <v>#N/A</v>
      </c>
      <c r="D65" s="8" t="e">
        <f t="shared" si="0"/>
        <v>#N/A</v>
      </c>
    </row>
    <row r="66" spans="1:4" x14ac:dyDescent="0.25">
      <c r="A66" t="e">
        <v>#N/A</v>
      </c>
      <c r="B66" s="8" t="e">
        <v>#N/A</v>
      </c>
      <c r="C66" s="8" t="e">
        <v>#N/A</v>
      </c>
      <c r="D66" s="8" t="e">
        <f t="shared" ref="D66:D100" si="1">AVERAGE(B66:C66)</f>
        <v>#N/A</v>
      </c>
    </row>
    <row r="67" spans="1:4" x14ac:dyDescent="0.25">
      <c r="A67" t="e">
        <v>#N/A</v>
      </c>
      <c r="B67" s="8" t="e">
        <v>#N/A</v>
      </c>
      <c r="C67" s="8" t="e">
        <v>#N/A</v>
      </c>
      <c r="D67" s="8" t="e">
        <f t="shared" si="1"/>
        <v>#N/A</v>
      </c>
    </row>
    <row r="68" spans="1:4" x14ac:dyDescent="0.25">
      <c r="A68" t="e">
        <v>#N/A</v>
      </c>
      <c r="B68" s="8" t="e">
        <v>#N/A</v>
      </c>
      <c r="C68" s="8" t="e">
        <v>#N/A</v>
      </c>
      <c r="D68" s="8" t="e">
        <f t="shared" si="1"/>
        <v>#N/A</v>
      </c>
    </row>
    <row r="69" spans="1:4" x14ac:dyDescent="0.25">
      <c r="A69" t="e">
        <v>#N/A</v>
      </c>
      <c r="B69" s="8" t="e">
        <v>#N/A</v>
      </c>
      <c r="C69" s="8" t="e">
        <v>#N/A</v>
      </c>
      <c r="D69" s="8" t="e">
        <f t="shared" si="1"/>
        <v>#N/A</v>
      </c>
    </row>
    <row r="70" spans="1:4" x14ac:dyDescent="0.25">
      <c r="A70" t="e">
        <v>#N/A</v>
      </c>
      <c r="B70" s="8" t="e">
        <v>#N/A</v>
      </c>
      <c r="C70" s="8" t="e">
        <v>#N/A</v>
      </c>
      <c r="D70" s="8" t="e">
        <f t="shared" si="1"/>
        <v>#N/A</v>
      </c>
    </row>
    <row r="71" spans="1:4" x14ac:dyDescent="0.25">
      <c r="A71" t="e">
        <v>#N/A</v>
      </c>
      <c r="B71" s="8" t="e">
        <v>#N/A</v>
      </c>
      <c r="C71" s="8" t="e">
        <v>#N/A</v>
      </c>
      <c r="D71" s="8" t="e">
        <f t="shared" si="1"/>
        <v>#N/A</v>
      </c>
    </row>
    <row r="72" spans="1:4" x14ac:dyDescent="0.25">
      <c r="A72" t="e">
        <v>#N/A</v>
      </c>
      <c r="B72" s="8" t="e">
        <v>#N/A</v>
      </c>
      <c r="C72" s="8" t="e">
        <v>#N/A</v>
      </c>
      <c r="D72" s="8" t="e">
        <f t="shared" si="1"/>
        <v>#N/A</v>
      </c>
    </row>
    <row r="73" spans="1:4" x14ac:dyDescent="0.25">
      <c r="A73" t="e">
        <v>#N/A</v>
      </c>
      <c r="B73" s="8" t="e">
        <v>#N/A</v>
      </c>
      <c r="C73" s="8" t="e">
        <v>#N/A</v>
      </c>
      <c r="D73" s="8" t="e">
        <f t="shared" si="1"/>
        <v>#N/A</v>
      </c>
    </row>
    <row r="74" spans="1:4" x14ac:dyDescent="0.25">
      <c r="A74" t="e">
        <v>#N/A</v>
      </c>
      <c r="B74" s="8" t="e">
        <v>#N/A</v>
      </c>
      <c r="C74" s="8" t="e">
        <v>#N/A</v>
      </c>
      <c r="D74" s="8" t="e">
        <f t="shared" si="1"/>
        <v>#N/A</v>
      </c>
    </row>
    <row r="75" spans="1:4" x14ac:dyDescent="0.25">
      <c r="A75" t="e">
        <v>#N/A</v>
      </c>
      <c r="B75" s="8" t="e">
        <v>#N/A</v>
      </c>
      <c r="C75" s="8" t="e">
        <v>#N/A</v>
      </c>
      <c r="D75" s="8" t="e">
        <f t="shared" si="1"/>
        <v>#N/A</v>
      </c>
    </row>
    <row r="76" spans="1:4" x14ac:dyDescent="0.25">
      <c r="A76" t="e">
        <v>#N/A</v>
      </c>
      <c r="B76" s="8" t="e">
        <v>#N/A</v>
      </c>
      <c r="C76" s="8" t="e">
        <v>#N/A</v>
      </c>
      <c r="D76" s="8" t="e">
        <f t="shared" si="1"/>
        <v>#N/A</v>
      </c>
    </row>
    <row r="77" spans="1:4" x14ac:dyDescent="0.25">
      <c r="A77" t="e">
        <v>#N/A</v>
      </c>
      <c r="B77" s="8" t="e">
        <v>#N/A</v>
      </c>
      <c r="C77" s="8" t="e">
        <v>#N/A</v>
      </c>
      <c r="D77" s="8" t="e">
        <f t="shared" si="1"/>
        <v>#N/A</v>
      </c>
    </row>
    <row r="78" spans="1:4" x14ac:dyDescent="0.25">
      <c r="A78" t="e">
        <v>#N/A</v>
      </c>
      <c r="B78" s="8" t="e">
        <v>#N/A</v>
      </c>
      <c r="C78" s="8" t="e">
        <v>#N/A</v>
      </c>
      <c r="D78" s="8" t="e">
        <f t="shared" si="1"/>
        <v>#N/A</v>
      </c>
    </row>
    <row r="79" spans="1:4" x14ac:dyDescent="0.25">
      <c r="A79" t="e">
        <v>#N/A</v>
      </c>
      <c r="B79" s="8" t="e">
        <v>#N/A</v>
      </c>
      <c r="C79" s="8" t="e">
        <v>#N/A</v>
      </c>
      <c r="D79" s="8" t="e">
        <f t="shared" si="1"/>
        <v>#N/A</v>
      </c>
    </row>
    <row r="80" spans="1:4" x14ac:dyDescent="0.25">
      <c r="A80" t="e">
        <v>#N/A</v>
      </c>
      <c r="B80" s="8" t="e">
        <v>#N/A</v>
      </c>
      <c r="C80" s="8" t="e">
        <v>#N/A</v>
      </c>
      <c r="D80" s="8" t="e">
        <f t="shared" si="1"/>
        <v>#N/A</v>
      </c>
    </row>
    <row r="81" spans="1:4" x14ac:dyDescent="0.25">
      <c r="A81" t="e">
        <v>#N/A</v>
      </c>
      <c r="B81" s="8" t="e">
        <v>#N/A</v>
      </c>
      <c r="C81" s="8" t="e">
        <v>#N/A</v>
      </c>
      <c r="D81" s="8" t="e">
        <f t="shared" si="1"/>
        <v>#N/A</v>
      </c>
    </row>
    <row r="82" spans="1:4" x14ac:dyDescent="0.25">
      <c r="A82" t="e">
        <v>#N/A</v>
      </c>
      <c r="B82" s="8" t="e">
        <v>#N/A</v>
      </c>
      <c r="C82" s="8" t="e">
        <v>#N/A</v>
      </c>
      <c r="D82" s="8" t="e">
        <f t="shared" si="1"/>
        <v>#N/A</v>
      </c>
    </row>
    <row r="83" spans="1:4" x14ac:dyDescent="0.25">
      <c r="A83" t="e">
        <v>#N/A</v>
      </c>
      <c r="B83" s="8" t="e">
        <v>#N/A</v>
      </c>
      <c r="C83" s="8" t="e">
        <v>#N/A</v>
      </c>
      <c r="D83" s="8" t="e">
        <f t="shared" si="1"/>
        <v>#N/A</v>
      </c>
    </row>
    <row r="84" spans="1:4" x14ac:dyDescent="0.25">
      <c r="A84" t="e">
        <v>#N/A</v>
      </c>
      <c r="B84" s="8" t="e">
        <v>#N/A</v>
      </c>
      <c r="C84" s="8" t="e">
        <v>#N/A</v>
      </c>
      <c r="D84" s="8" t="e">
        <f t="shared" si="1"/>
        <v>#N/A</v>
      </c>
    </row>
    <row r="85" spans="1:4" x14ac:dyDescent="0.25">
      <c r="A85" t="e">
        <v>#N/A</v>
      </c>
      <c r="B85" s="8" t="e">
        <v>#N/A</v>
      </c>
      <c r="C85" s="8" t="e">
        <v>#N/A</v>
      </c>
      <c r="D85" s="8" t="e">
        <f t="shared" si="1"/>
        <v>#N/A</v>
      </c>
    </row>
    <row r="86" spans="1:4" x14ac:dyDescent="0.25">
      <c r="A86" t="e">
        <v>#N/A</v>
      </c>
      <c r="B86" s="8" t="e">
        <v>#N/A</v>
      </c>
      <c r="C86" s="8" t="e">
        <v>#N/A</v>
      </c>
      <c r="D86" s="8" t="e">
        <f t="shared" si="1"/>
        <v>#N/A</v>
      </c>
    </row>
    <row r="87" spans="1:4" x14ac:dyDescent="0.25">
      <c r="A87" t="e">
        <v>#N/A</v>
      </c>
      <c r="B87" s="8" t="e">
        <v>#N/A</v>
      </c>
      <c r="C87" s="8" t="e">
        <v>#N/A</v>
      </c>
      <c r="D87" s="8" t="e">
        <f t="shared" si="1"/>
        <v>#N/A</v>
      </c>
    </row>
    <row r="88" spans="1:4" x14ac:dyDescent="0.25">
      <c r="A88" t="e">
        <v>#N/A</v>
      </c>
      <c r="B88" s="8" t="e">
        <v>#N/A</v>
      </c>
      <c r="C88" s="8" t="e">
        <v>#N/A</v>
      </c>
      <c r="D88" s="8" t="e">
        <f t="shared" si="1"/>
        <v>#N/A</v>
      </c>
    </row>
    <row r="89" spans="1:4" x14ac:dyDescent="0.25">
      <c r="A89" t="e">
        <v>#N/A</v>
      </c>
      <c r="B89" s="8" t="e">
        <v>#N/A</v>
      </c>
      <c r="C89" s="8" t="e">
        <v>#N/A</v>
      </c>
      <c r="D89" s="8" t="e">
        <f t="shared" si="1"/>
        <v>#N/A</v>
      </c>
    </row>
    <row r="90" spans="1:4" x14ac:dyDescent="0.25">
      <c r="A90" t="e">
        <v>#N/A</v>
      </c>
      <c r="B90" s="8" t="e">
        <v>#N/A</v>
      </c>
      <c r="C90" s="8" t="e">
        <v>#N/A</v>
      </c>
      <c r="D90" s="8" t="e">
        <f t="shared" si="1"/>
        <v>#N/A</v>
      </c>
    </row>
    <row r="91" spans="1:4" x14ac:dyDescent="0.25">
      <c r="A91" t="e">
        <v>#N/A</v>
      </c>
      <c r="B91" s="8" t="e">
        <v>#N/A</v>
      </c>
      <c r="C91" s="8" t="e">
        <v>#N/A</v>
      </c>
      <c r="D91" s="8" t="e">
        <f t="shared" si="1"/>
        <v>#N/A</v>
      </c>
    </row>
    <row r="92" spans="1:4" x14ac:dyDescent="0.25">
      <c r="A92" t="e">
        <v>#N/A</v>
      </c>
      <c r="B92" s="8" t="e">
        <v>#N/A</v>
      </c>
      <c r="C92" s="8" t="e">
        <v>#N/A</v>
      </c>
      <c r="D92" s="8" t="e">
        <f t="shared" si="1"/>
        <v>#N/A</v>
      </c>
    </row>
    <row r="93" spans="1:4" x14ac:dyDescent="0.25">
      <c r="A93" t="e">
        <v>#N/A</v>
      </c>
      <c r="B93" s="8" t="e">
        <v>#N/A</v>
      </c>
      <c r="C93" s="8" t="e">
        <v>#N/A</v>
      </c>
      <c r="D93" s="8" t="e">
        <f t="shared" si="1"/>
        <v>#N/A</v>
      </c>
    </row>
    <row r="94" spans="1:4" x14ac:dyDescent="0.25">
      <c r="A94" t="e">
        <v>#N/A</v>
      </c>
      <c r="B94" s="8" t="e">
        <v>#N/A</v>
      </c>
      <c r="C94" s="8" t="e">
        <v>#N/A</v>
      </c>
      <c r="D94" s="8" t="e">
        <f t="shared" si="1"/>
        <v>#N/A</v>
      </c>
    </row>
    <row r="95" spans="1:4" x14ac:dyDescent="0.25">
      <c r="A95" t="e">
        <v>#N/A</v>
      </c>
      <c r="B95" s="8" t="e">
        <v>#N/A</v>
      </c>
      <c r="C95" s="8" t="e">
        <v>#N/A</v>
      </c>
      <c r="D95" s="8" t="e">
        <f t="shared" si="1"/>
        <v>#N/A</v>
      </c>
    </row>
    <row r="96" spans="1:4" x14ac:dyDescent="0.25">
      <c r="A96" t="e">
        <v>#N/A</v>
      </c>
      <c r="B96" s="8" t="e">
        <v>#N/A</v>
      </c>
      <c r="C96" s="8" t="e">
        <v>#N/A</v>
      </c>
      <c r="D96" s="8" t="e">
        <f t="shared" si="1"/>
        <v>#N/A</v>
      </c>
    </row>
    <row r="97" spans="1:4" x14ac:dyDescent="0.25">
      <c r="A97" t="e">
        <v>#N/A</v>
      </c>
      <c r="B97" s="8" t="e">
        <v>#N/A</v>
      </c>
      <c r="C97" s="8" t="e">
        <v>#N/A</v>
      </c>
      <c r="D97" s="8" t="e">
        <f t="shared" si="1"/>
        <v>#N/A</v>
      </c>
    </row>
    <row r="98" spans="1:4" x14ac:dyDescent="0.25">
      <c r="A98" t="e">
        <v>#N/A</v>
      </c>
      <c r="B98" s="8" t="e">
        <v>#N/A</v>
      </c>
      <c r="C98" s="8" t="e">
        <v>#N/A</v>
      </c>
      <c r="D98" s="8" t="e">
        <f t="shared" si="1"/>
        <v>#N/A</v>
      </c>
    </row>
    <row r="99" spans="1:4" x14ac:dyDescent="0.25">
      <c r="A99" t="e">
        <v>#N/A</v>
      </c>
      <c r="B99" s="8" t="e">
        <v>#N/A</v>
      </c>
      <c r="C99" s="8" t="e">
        <v>#N/A</v>
      </c>
      <c r="D99" s="8" t="e">
        <f t="shared" si="1"/>
        <v>#N/A</v>
      </c>
    </row>
    <row r="100" spans="1:4" x14ac:dyDescent="0.25">
      <c r="A100" t="e">
        <v>#N/A</v>
      </c>
      <c r="B100" s="8" t="e">
        <v>#N/A</v>
      </c>
      <c r="C100" s="8" t="e">
        <v>#N/A</v>
      </c>
      <c r="D100" s="8" t="e">
        <f t="shared" si="1"/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00"/>
  <sheetViews>
    <sheetView workbookViewId="0">
      <selection activeCell="H1" sqref="H1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6" bestFit="1" customWidth="1"/>
    <col min="4" max="4" width="15.140625" style="8" customWidth="1"/>
    <col min="5" max="5" width="15.42578125" style="8" customWidth="1"/>
    <col min="6" max="6" width="15" style="8" customWidth="1"/>
    <col min="7" max="7" width="11.85546875" style="8" bestFit="1" customWidth="1"/>
    <col min="8" max="8" width="11.5703125" style="105" bestFit="1" customWidth="1"/>
    <col min="9" max="9" width="12.5703125" customWidth="1"/>
    <col min="11" max="11" width="10" bestFit="1" customWidth="1"/>
  </cols>
  <sheetData>
    <row r="1" spans="1:9" ht="15.75" thickBot="1" x14ac:dyDescent="0.3">
      <c r="A1" s="20" t="s">
        <v>9</v>
      </c>
      <c r="B1" s="21" t="s">
        <v>10</v>
      </c>
      <c r="C1" s="21" t="s">
        <v>11</v>
      </c>
      <c r="D1" s="22" t="s">
        <v>12</v>
      </c>
      <c r="E1" s="22" t="s">
        <v>13</v>
      </c>
      <c r="F1" s="22" t="s">
        <v>14</v>
      </c>
      <c r="G1" s="23" t="s">
        <v>15</v>
      </c>
      <c r="H1" s="106">
        <v>1</v>
      </c>
      <c r="I1" s="106" t="s">
        <v>0</v>
      </c>
    </row>
    <row r="2" spans="1:9" x14ac:dyDescent="0.25">
      <c r="A2" s="10" t="e">
        <f t="array" ref="A2:G200" ca="1">_xll.Kraken.GetTradesHistory(TODAY()-H1,TODAY()+1)</f>
        <v>#N/A</v>
      </c>
      <c r="B2" s="11" t="e">
        <f ca="1"/>
        <v>#N/A</v>
      </c>
      <c r="C2" s="24" t="e">
        <f ca="1"/>
        <v>#N/A</v>
      </c>
      <c r="D2" s="12" t="e">
        <f ca="1"/>
        <v>#N/A</v>
      </c>
      <c r="E2" s="12" t="e">
        <f ca="1"/>
        <v>#N/A</v>
      </c>
      <c r="F2" s="12" t="e">
        <f ca="1"/>
        <v>#N/A</v>
      </c>
      <c r="G2" s="13" t="e">
        <f ca="1"/>
        <v>#N/A</v>
      </c>
      <c r="H2" s="102" t="e">
        <f ca="1">F2+G2</f>
        <v>#N/A</v>
      </c>
      <c r="I2" s="160" t="e">
        <f t="shared" ref="I2:I33" ca="1" si="0">H2*BTCPriceEUR</f>
        <v>#N/A</v>
      </c>
    </row>
    <row r="3" spans="1:9" x14ac:dyDescent="0.25">
      <c r="A3" s="14" t="e">
        <f ca="1"/>
        <v>#N/A</v>
      </c>
      <c r="B3" s="3" t="e">
        <f ca="1"/>
        <v>#N/A</v>
      </c>
      <c r="C3" s="6" t="e">
        <f ca="1"/>
        <v>#N/A</v>
      </c>
      <c r="D3" s="15" t="e">
        <f ca="1"/>
        <v>#N/A</v>
      </c>
      <c r="E3" s="15" t="e">
        <f ca="1"/>
        <v>#N/A</v>
      </c>
      <c r="F3" s="15" t="e">
        <f ca="1"/>
        <v>#N/A</v>
      </c>
      <c r="G3" s="5" t="e">
        <f ca="1"/>
        <v>#N/A</v>
      </c>
      <c r="H3" s="103" t="e">
        <f t="shared" ref="H3:H66" ca="1" si="1">F3+G3</f>
        <v>#N/A</v>
      </c>
      <c r="I3" s="161" t="e">
        <f t="shared" ca="1" si="0"/>
        <v>#N/A</v>
      </c>
    </row>
    <row r="4" spans="1:9" x14ac:dyDescent="0.25">
      <c r="A4" s="14" t="e">
        <f ca="1"/>
        <v>#N/A</v>
      </c>
      <c r="B4" s="3" t="e">
        <f ca="1"/>
        <v>#N/A</v>
      </c>
      <c r="C4" s="6" t="e">
        <f ca="1"/>
        <v>#N/A</v>
      </c>
      <c r="D4" s="15" t="e">
        <f ca="1"/>
        <v>#N/A</v>
      </c>
      <c r="E4" s="15" t="e">
        <f ca="1"/>
        <v>#N/A</v>
      </c>
      <c r="F4" s="15" t="e">
        <f ca="1"/>
        <v>#N/A</v>
      </c>
      <c r="G4" s="5" t="e">
        <f ca="1"/>
        <v>#N/A</v>
      </c>
      <c r="H4" s="103" t="e">
        <f t="shared" ca="1" si="1"/>
        <v>#N/A</v>
      </c>
      <c r="I4" s="161" t="e">
        <f t="shared" ca="1" si="0"/>
        <v>#N/A</v>
      </c>
    </row>
    <row r="5" spans="1:9" x14ac:dyDescent="0.25">
      <c r="A5" s="14" t="e">
        <f ca="1"/>
        <v>#N/A</v>
      </c>
      <c r="B5" s="3" t="e">
        <f ca="1"/>
        <v>#N/A</v>
      </c>
      <c r="C5" s="6" t="e">
        <f ca="1"/>
        <v>#N/A</v>
      </c>
      <c r="D5" s="15" t="e">
        <f ca="1"/>
        <v>#N/A</v>
      </c>
      <c r="E5" s="15" t="e">
        <f ca="1"/>
        <v>#N/A</v>
      </c>
      <c r="F5" s="15" t="e">
        <f ca="1"/>
        <v>#N/A</v>
      </c>
      <c r="G5" s="5" t="e">
        <f ca="1"/>
        <v>#N/A</v>
      </c>
      <c r="H5" s="103" t="e">
        <f t="shared" ca="1" si="1"/>
        <v>#N/A</v>
      </c>
      <c r="I5" s="161" t="e">
        <f t="shared" ca="1" si="0"/>
        <v>#N/A</v>
      </c>
    </row>
    <row r="6" spans="1:9" x14ac:dyDescent="0.25">
      <c r="A6" s="14" t="e">
        <f ca="1"/>
        <v>#N/A</v>
      </c>
      <c r="B6" s="3" t="e">
        <f ca="1"/>
        <v>#N/A</v>
      </c>
      <c r="C6" s="6" t="e">
        <f ca="1"/>
        <v>#N/A</v>
      </c>
      <c r="D6" s="15" t="e">
        <f ca="1"/>
        <v>#N/A</v>
      </c>
      <c r="E6" s="15" t="e">
        <f ca="1"/>
        <v>#N/A</v>
      </c>
      <c r="F6" s="15" t="e">
        <f ca="1"/>
        <v>#N/A</v>
      </c>
      <c r="G6" s="5" t="e">
        <f ca="1"/>
        <v>#N/A</v>
      </c>
      <c r="H6" s="103" t="e">
        <f t="shared" ca="1" si="1"/>
        <v>#N/A</v>
      </c>
      <c r="I6" s="161" t="e">
        <f t="shared" ca="1" si="0"/>
        <v>#N/A</v>
      </c>
    </row>
    <row r="7" spans="1:9" x14ac:dyDescent="0.25">
      <c r="A7" s="14" t="e">
        <f ca="1"/>
        <v>#N/A</v>
      </c>
      <c r="B7" s="3" t="e">
        <f ca="1"/>
        <v>#N/A</v>
      </c>
      <c r="C7" s="6" t="e">
        <f ca="1"/>
        <v>#N/A</v>
      </c>
      <c r="D7" s="15" t="e">
        <f ca="1"/>
        <v>#N/A</v>
      </c>
      <c r="E7" s="15" t="e">
        <f ca="1"/>
        <v>#N/A</v>
      </c>
      <c r="F7" s="15" t="e">
        <f ca="1"/>
        <v>#N/A</v>
      </c>
      <c r="G7" s="5" t="e">
        <f ca="1"/>
        <v>#N/A</v>
      </c>
      <c r="H7" s="103" t="e">
        <f t="shared" ca="1" si="1"/>
        <v>#N/A</v>
      </c>
      <c r="I7" s="161" t="e">
        <f t="shared" ca="1" si="0"/>
        <v>#N/A</v>
      </c>
    </row>
    <row r="8" spans="1:9" x14ac:dyDescent="0.25">
      <c r="A8" s="14" t="e">
        <f ca="1"/>
        <v>#N/A</v>
      </c>
      <c r="B8" s="3" t="e">
        <f ca="1"/>
        <v>#N/A</v>
      </c>
      <c r="C8" s="6" t="e">
        <f ca="1"/>
        <v>#N/A</v>
      </c>
      <c r="D8" s="15" t="e">
        <f ca="1"/>
        <v>#N/A</v>
      </c>
      <c r="E8" s="15" t="e">
        <f ca="1"/>
        <v>#N/A</v>
      </c>
      <c r="F8" s="15" t="e">
        <f ca="1"/>
        <v>#N/A</v>
      </c>
      <c r="G8" s="5" t="e">
        <f ca="1"/>
        <v>#N/A</v>
      </c>
      <c r="H8" s="103" t="e">
        <f t="shared" ca="1" si="1"/>
        <v>#N/A</v>
      </c>
      <c r="I8" s="161" t="e">
        <f t="shared" ca="1" si="0"/>
        <v>#N/A</v>
      </c>
    </row>
    <row r="9" spans="1:9" x14ac:dyDescent="0.25">
      <c r="A9" s="14" t="e">
        <f ca="1"/>
        <v>#N/A</v>
      </c>
      <c r="B9" s="3" t="e">
        <f ca="1"/>
        <v>#N/A</v>
      </c>
      <c r="C9" s="6" t="e">
        <f ca="1"/>
        <v>#N/A</v>
      </c>
      <c r="D9" s="15" t="e">
        <f ca="1"/>
        <v>#N/A</v>
      </c>
      <c r="E9" s="15" t="e">
        <f ca="1"/>
        <v>#N/A</v>
      </c>
      <c r="F9" s="15" t="e">
        <f ca="1"/>
        <v>#N/A</v>
      </c>
      <c r="G9" s="5" t="e">
        <f ca="1"/>
        <v>#N/A</v>
      </c>
      <c r="H9" s="103" t="e">
        <f t="shared" ca="1" si="1"/>
        <v>#N/A</v>
      </c>
      <c r="I9" s="161" t="e">
        <f t="shared" ca="1" si="0"/>
        <v>#N/A</v>
      </c>
    </row>
    <row r="10" spans="1:9" x14ac:dyDescent="0.25">
      <c r="A10" s="14" t="e">
        <f ca="1"/>
        <v>#N/A</v>
      </c>
      <c r="B10" s="3" t="e">
        <f ca="1"/>
        <v>#N/A</v>
      </c>
      <c r="C10" s="6" t="e">
        <f ca="1"/>
        <v>#N/A</v>
      </c>
      <c r="D10" s="15" t="e">
        <f ca="1"/>
        <v>#N/A</v>
      </c>
      <c r="E10" s="15" t="e">
        <f ca="1"/>
        <v>#N/A</v>
      </c>
      <c r="F10" s="15" t="e">
        <f ca="1"/>
        <v>#N/A</v>
      </c>
      <c r="G10" s="5" t="e">
        <f ca="1"/>
        <v>#N/A</v>
      </c>
      <c r="H10" s="103" t="e">
        <f t="shared" ca="1" si="1"/>
        <v>#N/A</v>
      </c>
      <c r="I10" s="161" t="e">
        <f t="shared" ca="1" si="0"/>
        <v>#N/A</v>
      </c>
    </row>
    <row r="11" spans="1:9" x14ac:dyDescent="0.25">
      <c r="A11" s="14" t="e">
        <f ca="1"/>
        <v>#N/A</v>
      </c>
      <c r="B11" s="3" t="e">
        <f ca="1"/>
        <v>#N/A</v>
      </c>
      <c r="C11" s="6" t="e">
        <f ca="1"/>
        <v>#N/A</v>
      </c>
      <c r="D11" s="15" t="e">
        <f ca="1"/>
        <v>#N/A</v>
      </c>
      <c r="E11" s="15" t="e">
        <f ca="1"/>
        <v>#N/A</v>
      </c>
      <c r="F11" s="15" t="e">
        <f ca="1"/>
        <v>#N/A</v>
      </c>
      <c r="G11" s="5" t="e">
        <f ca="1"/>
        <v>#N/A</v>
      </c>
      <c r="H11" s="103" t="e">
        <f t="shared" ca="1" si="1"/>
        <v>#N/A</v>
      </c>
      <c r="I11" s="161" t="e">
        <f t="shared" ca="1" si="0"/>
        <v>#N/A</v>
      </c>
    </row>
    <row r="12" spans="1:9" x14ac:dyDescent="0.25">
      <c r="A12" s="14" t="e">
        <f ca="1"/>
        <v>#N/A</v>
      </c>
      <c r="B12" s="3" t="e">
        <f ca="1"/>
        <v>#N/A</v>
      </c>
      <c r="C12" s="6" t="e">
        <f ca="1"/>
        <v>#N/A</v>
      </c>
      <c r="D12" s="15" t="e">
        <f ca="1"/>
        <v>#N/A</v>
      </c>
      <c r="E12" s="15" t="e">
        <f ca="1"/>
        <v>#N/A</v>
      </c>
      <c r="F12" s="15" t="e">
        <f ca="1"/>
        <v>#N/A</v>
      </c>
      <c r="G12" s="5" t="e">
        <f ca="1"/>
        <v>#N/A</v>
      </c>
      <c r="H12" s="103" t="e">
        <f t="shared" ca="1" si="1"/>
        <v>#N/A</v>
      </c>
      <c r="I12" s="161" t="e">
        <f t="shared" ca="1" si="0"/>
        <v>#N/A</v>
      </c>
    </row>
    <row r="13" spans="1:9" x14ac:dyDescent="0.25">
      <c r="A13" s="14" t="e">
        <f ca="1"/>
        <v>#N/A</v>
      </c>
      <c r="B13" s="3" t="e">
        <f ca="1"/>
        <v>#N/A</v>
      </c>
      <c r="C13" s="6" t="e">
        <f ca="1"/>
        <v>#N/A</v>
      </c>
      <c r="D13" s="15" t="e">
        <f ca="1"/>
        <v>#N/A</v>
      </c>
      <c r="E13" s="15" t="e">
        <f ca="1"/>
        <v>#N/A</v>
      </c>
      <c r="F13" s="15" t="e">
        <f ca="1"/>
        <v>#N/A</v>
      </c>
      <c r="G13" s="5" t="e">
        <f ca="1"/>
        <v>#N/A</v>
      </c>
      <c r="H13" s="103" t="e">
        <f t="shared" ca="1" si="1"/>
        <v>#N/A</v>
      </c>
      <c r="I13" s="161" t="e">
        <f t="shared" ca="1" si="0"/>
        <v>#N/A</v>
      </c>
    </row>
    <row r="14" spans="1:9" x14ac:dyDescent="0.25">
      <c r="A14" s="14" t="e">
        <f ca="1"/>
        <v>#N/A</v>
      </c>
      <c r="B14" s="3" t="e">
        <f ca="1"/>
        <v>#N/A</v>
      </c>
      <c r="C14" s="6" t="e">
        <f ca="1"/>
        <v>#N/A</v>
      </c>
      <c r="D14" s="15" t="e">
        <f ca="1"/>
        <v>#N/A</v>
      </c>
      <c r="E14" s="15" t="e">
        <f ca="1"/>
        <v>#N/A</v>
      </c>
      <c r="F14" s="15" t="e">
        <f ca="1"/>
        <v>#N/A</v>
      </c>
      <c r="G14" s="5" t="e">
        <f ca="1"/>
        <v>#N/A</v>
      </c>
      <c r="H14" s="103" t="e">
        <f t="shared" ca="1" si="1"/>
        <v>#N/A</v>
      </c>
      <c r="I14" s="161" t="e">
        <f t="shared" ca="1" si="0"/>
        <v>#N/A</v>
      </c>
    </row>
    <row r="15" spans="1:9" x14ac:dyDescent="0.25">
      <c r="A15" s="14" t="e">
        <f ca="1"/>
        <v>#N/A</v>
      </c>
      <c r="B15" s="3" t="e">
        <f ca="1"/>
        <v>#N/A</v>
      </c>
      <c r="C15" s="6" t="e">
        <f ca="1"/>
        <v>#N/A</v>
      </c>
      <c r="D15" s="15" t="e">
        <f ca="1"/>
        <v>#N/A</v>
      </c>
      <c r="E15" s="15" t="e">
        <f ca="1"/>
        <v>#N/A</v>
      </c>
      <c r="F15" s="15" t="e">
        <f ca="1"/>
        <v>#N/A</v>
      </c>
      <c r="G15" s="5" t="e">
        <f ca="1"/>
        <v>#N/A</v>
      </c>
      <c r="H15" s="103" t="e">
        <f t="shared" ca="1" si="1"/>
        <v>#N/A</v>
      </c>
      <c r="I15" s="161" t="e">
        <f t="shared" ca="1" si="0"/>
        <v>#N/A</v>
      </c>
    </row>
    <row r="16" spans="1:9" x14ac:dyDescent="0.25">
      <c r="A16" s="14" t="e">
        <f ca="1"/>
        <v>#N/A</v>
      </c>
      <c r="B16" s="3" t="e">
        <f ca="1"/>
        <v>#N/A</v>
      </c>
      <c r="C16" s="6" t="e">
        <f ca="1"/>
        <v>#N/A</v>
      </c>
      <c r="D16" s="15" t="e">
        <f ca="1"/>
        <v>#N/A</v>
      </c>
      <c r="E16" s="15" t="e">
        <f ca="1"/>
        <v>#N/A</v>
      </c>
      <c r="F16" s="15" t="e">
        <f ca="1"/>
        <v>#N/A</v>
      </c>
      <c r="G16" s="5" t="e">
        <f ca="1"/>
        <v>#N/A</v>
      </c>
      <c r="H16" s="103" t="e">
        <f t="shared" ca="1" si="1"/>
        <v>#N/A</v>
      </c>
      <c r="I16" s="161" t="e">
        <f t="shared" ca="1" si="0"/>
        <v>#N/A</v>
      </c>
    </row>
    <row r="17" spans="1:9" x14ac:dyDescent="0.25">
      <c r="A17" s="14" t="e">
        <f ca="1"/>
        <v>#N/A</v>
      </c>
      <c r="B17" s="3" t="e">
        <f ca="1"/>
        <v>#N/A</v>
      </c>
      <c r="C17" s="6" t="e">
        <f ca="1"/>
        <v>#N/A</v>
      </c>
      <c r="D17" s="15" t="e">
        <f ca="1"/>
        <v>#N/A</v>
      </c>
      <c r="E17" s="15" t="e">
        <f ca="1"/>
        <v>#N/A</v>
      </c>
      <c r="F17" s="15" t="e">
        <f ca="1"/>
        <v>#N/A</v>
      </c>
      <c r="G17" s="5" t="e">
        <f ca="1"/>
        <v>#N/A</v>
      </c>
      <c r="H17" s="103" t="e">
        <f t="shared" ca="1" si="1"/>
        <v>#N/A</v>
      </c>
      <c r="I17" s="161" t="e">
        <f t="shared" ca="1" si="0"/>
        <v>#N/A</v>
      </c>
    </row>
    <row r="18" spans="1:9" x14ac:dyDescent="0.25">
      <c r="A18" s="14" t="e">
        <f ca="1"/>
        <v>#N/A</v>
      </c>
      <c r="B18" s="3" t="e">
        <f ca="1"/>
        <v>#N/A</v>
      </c>
      <c r="C18" s="6" t="e">
        <f ca="1"/>
        <v>#N/A</v>
      </c>
      <c r="D18" s="15" t="e">
        <f ca="1"/>
        <v>#N/A</v>
      </c>
      <c r="E18" s="15" t="e">
        <f ca="1"/>
        <v>#N/A</v>
      </c>
      <c r="F18" s="15" t="e">
        <f ca="1"/>
        <v>#N/A</v>
      </c>
      <c r="G18" s="5" t="e">
        <f ca="1"/>
        <v>#N/A</v>
      </c>
      <c r="H18" s="103" t="e">
        <f t="shared" ca="1" si="1"/>
        <v>#N/A</v>
      </c>
      <c r="I18" s="161" t="e">
        <f t="shared" ca="1" si="0"/>
        <v>#N/A</v>
      </c>
    </row>
    <row r="19" spans="1:9" x14ac:dyDescent="0.25">
      <c r="A19" s="14" t="e">
        <f ca="1"/>
        <v>#N/A</v>
      </c>
      <c r="B19" s="3" t="e">
        <f ca="1"/>
        <v>#N/A</v>
      </c>
      <c r="C19" s="6" t="e">
        <f ca="1"/>
        <v>#N/A</v>
      </c>
      <c r="D19" s="15" t="e">
        <f ca="1"/>
        <v>#N/A</v>
      </c>
      <c r="E19" s="15" t="e">
        <f ca="1"/>
        <v>#N/A</v>
      </c>
      <c r="F19" s="15" t="e">
        <f ca="1"/>
        <v>#N/A</v>
      </c>
      <c r="G19" s="5" t="e">
        <f ca="1"/>
        <v>#N/A</v>
      </c>
      <c r="H19" s="103" t="e">
        <f t="shared" ca="1" si="1"/>
        <v>#N/A</v>
      </c>
      <c r="I19" s="161" t="e">
        <f t="shared" ca="1" si="0"/>
        <v>#N/A</v>
      </c>
    </row>
    <row r="20" spans="1:9" x14ac:dyDescent="0.25">
      <c r="A20" s="14" t="e">
        <f ca="1"/>
        <v>#N/A</v>
      </c>
      <c r="B20" s="3" t="e">
        <f ca="1"/>
        <v>#N/A</v>
      </c>
      <c r="C20" s="6" t="e">
        <f ca="1"/>
        <v>#N/A</v>
      </c>
      <c r="D20" s="15" t="e">
        <f ca="1"/>
        <v>#N/A</v>
      </c>
      <c r="E20" s="15" t="e">
        <f ca="1"/>
        <v>#N/A</v>
      </c>
      <c r="F20" s="15" t="e">
        <f ca="1"/>
        <v>#N/A</v>
      </c>
      <c r="G20" s="5" t="e">
        <f ca="1"/>
        <v>#N/A</v>
      </c>
      <c r="H20" s="103" t="e">
        <f t="shared" ca="1" si="1"/>
        <v>#N/A</v>
      </c>
      <c r="I20" s="161" t="e">
        <f t="shared" ca="1" si="0"/>
        <v>#N/A</v>
      </c>
    </row>
    <row r="21" spans="1:9" x14ac:dyDescent="0.25">
      <c r="A21" s="14" t="e">
        <f ca="1"/>
        <v>#N/A</v>
      </c>
      <c r="B21" s="3" t="e">
        <f ca="1"/>
        <v>#N/A</v>
      </c>
      <c r="C21" s="6" t="e">
        <f ca="1"/>
        <v>#N/A</v>
      </c>
      <c r="D21" s="15" t="e">
        <f ca="1"/>
        <v>#N/A</v>
      </c>
      <c r="E21" s="15" t="e">
        <f ca="1"/>
        <v>#N/A</v>
      </c>
      <c r="F21" s="15" t="e">
        <f ca="1"/>
        <v>#N/A</v>
      </c>
      <c r="G21" s="5" t="e">
        <f ca="1"/>
        <v>#N/A</v>
      </c>
      <c r="H21" s="103" t="e">
        <f t="shared" ca="1" si="1"/>
        <v>#N/A</v>
      </c>
      <c r="I21" s="161" t="e">
        <f t="shared" ca="1" si="0"/>
        <v>#N/A</v>
      </c>
    </row>
    <row r="22" spans="1:9" x14ac:dyDescent="0.25">
      <c r="A22" s="14" t="e">
        <f ca="1"/>
        <v>#N/A</v>
      </c>
      <c r="B22" s="3" t="e">
        <f ca="1"/>
        <v>#N/A</v>
      </c>
      <c r="C22" s="6" t="e">
        <f ca="1"/>
        <v>#N/A</v>
      </c>
      <c r="D22" s="15" t="e">
        <f ca="1"/>
        <v>#N/A</v>
      </c>
      <c r="E22" s="15" t="e">
        <f ca="1"/>
        <v>#N/A</v>
      </c>
      <c r="F22" s="15" t="e">
        <f ca="1"/>
        <v>#N/A</v>
      </c>
      <c r="G22" s="5" t="e">
        <f ca="1"/>
        <v>#N/A</v>
      </c>
      <c r="H22" s="103" t="e">
        <f t="shared" ca="1" si="1"/>
        <v>#N/A</v>
      </c>
      <c r="I22" s="161" t="e">
        <f t="shared" ca="1" si="0"/>
        <v>#N/A</v>
      </c>
    </row>
    <row r="23" spans="1:9" x14ac:dyDescent="0.25">
      <c r="A23" s="14" t="e">
        <f ca="1"/>
        <v>#N/A</v>
      </c>
      <c r="B23" s="3" t="e">
        <f ca="1"/>
        <v>#N/A</v>
      </c>
      <c r="C23" s="6" t="e">
        <f ca="1"/>
        <v>#N/A</v>
      </c>
      <c r="D23" s="15" t="e">
        <f ca="1"/>
        <v>#N/A</v>
      </c>
      <c r="E23" s="15" t="e">
        <f ca="1"/>
        <v>#N/A</v>
      </c>
      <c r="F23" s="15" t="e">
        <f ca="1"/>
        <v>#N/A</v>
      </c>
      <c r="G23" s="5" t="e">
        <f ca="1"/>
        <v>#N/A</v>
      </c>
      <c r="H23" s="103" t="e">
        <f t="shared" ca="1" si="1"/>
        <v>#N/A</v>
      </c>
      <c r="I23" s="161" t="e">
        <f t="shared" ca="1" si="0"/>
        <v>#N/A</v>
      </c>
    </row>
    <row r="24" spans="1:9" x14ac:dyDescent="0.25">
      <c r="A24" s="14" t="e">
        <f ca="1"/>
        <v>#N/A</v>
      </c>
      <c r="B24" s="3" t="e">
        <f ca="1"/>
        <v>#N/A</v>
      </c>
      <c r="C24" s="6" t="e">
        <f ca="1"/>
        <v>#N/A</v>
      </c>
      <c r="D24" s="15" t="e">
        <f ca="1"/>
        <v>#N/A</v>
      </c>
      <c r="E24" s="15" t="e">
        <f ca="1"/>
        <v>#N/A</v>
      </c>
      <c r="F24" s="15" t="e">
        <f ca="1"/>
        <v>#N/A</v>
      </c>
      <c r="G24" s="5" t="e">
        <f ca="1"/>
        <v>#N/A</v>
      </c>
      <c r="H24" s="103" t="e">
        <f t="shared" ca="1" si="1"/>
        <v>#N/A</v>
      </c>
      <c r="I24" s="161" t="e">
        <f t="shared" ca="1" si="0"/>
        <v>#N/A</v>
      </c>
    </row>
    <row r="25" spans="1:9" x14ac:dyDescent="0.25">
      <c r="A25" s="14" t="e">
        <f ca="1"/>
        <v>#N/A</v>
      </c>
      <c r="B25" s="3" t="e">
        <f ca="1"/>
        <v>#N/A</v>
      </c>
      <c r="C25" s="6" t="e">
        <f ca="1"/>
        <v>#N/A</v>
      </c>
      <c r="D25" s="15" t="e">
        <f ca="1"/>
        <v>#N/A</v>
      </c>
      <c r="E25" s="15" t="e">
        <f ca="1"/>
        <v>#N/A</v>
      </c>
      <c r="F25" s="15" t="e">
        <f ca="1"/>
        <v>#N/A</v>
      </c>
      <c r="G25" s="5" t="e">
        <f ca="1"/>
        <v>#N/A</v>
      </c>
      <c r="H25" s="103" t="e">
        <f t="shared" ca="1" si="1"/>
        <v>#N/A</v>
      </c>
      <c r="I25" s="161" t="e">
        <f t="shared" ca="1" si="0"/>
        <v>#N/A</v>
      </c>
    </row>
    <row r="26" spans="1:9" x14ac:dyDescent="0.25">
      <c r="A26" s="14" t="e">
        <f ca="1"/>
        <v>#N/A</v>
      </c>
      <c r="B26" s="3" t="e">
        <f ca="1"/>
        <v>#N/A</v>
      </c>
      <c r="C26" s="6" t="e">
        <f ca="1"/>
        <v>#N/A</v>
      </c>
      <c r="D26" s="15" t="e">
        <f ca="1"/>
        <v>#N/A</v>
      </c>
      <c r="E26" s="15" t="e">
        <f ca="1"/>
        <v>#N/A</v>
      </c>
      <c r="F26" s="15" t="e">
        <f ca="1"/>
        <v>#N/A</v>
      </c>
      <c r="G26" s="5" t="e">
        <f ca="1"/>
        <v>#N/A</v>
      </c>
      <c r="H26" s="103" t="e">
        <f t="shared" ca="1" si="1"/>
        <v>#N/A</v>
      </c>
      <c r="I26" s="161" t="e">
        <f t="shared" ca="1" si="0"/>
        <v>#N/A</v>
      </c>
    </row>
    <row r="27" spans="1:9" x14ac:dyDescent="0.25">
      <c r="A27" s="14" t="e">
        <f ca="1"/>
        <v>#N/A</v>
      </c>
      <c r="B27" s="3" t="e">
        <f ca="1"/>
        <v>#N/A</v>
      </c>
      <c r="C27" s="6" t="e">
        <f ca="1"/>
        <v>#N/A</v>
      </c>
      <c r="D27" s="15" t="e">
        <f ca="1"/>
        <v>#N/A</v>
      </c>
      <c r="E27" s="15" t="e">
        <f ca="1"/>
        <v>#N/A</v>
      </c>
      <c r="F27" s="15" t="e">
        <f ca="1"/>
        <v>#N/A</v>
      </c>
      <c r="G27" s="5" t="e">
        <f ca="1"/>
        <v>#N/A</v>
      </c>
      <c r="H27" s="103" t="e">
        <f t="shared" ca="1" si="1"/>
        <v>#N/A</v>
      </c>
      <c r="I27" s="161" t="e">
        <f t="shared" ca="1" si="0"/>
        <v>#N/A</v>
      </c>
    </row>
    <row r="28" spans="1:9" x14ac:dyDescent="0.25">
      <c r="A28" s="14" t="e">
        <f ca="1"/>
        <v>#N/A</v>
      </c>
      <c r="B28" s="3" t="e">
        <f ca="1"/>
        <v>#N/A</v>
      </c>
      <c r="C28" s="6" t="e">
        <f ca="1"/>
        <v>#N/A</v>
      </c>
      <c r="D28" s="15" t="e">
        <f ca="1"/>
        <v>#N/A</v>
      </c>
      <c r="E28" s="15" t="e">
        <f ca="1"/>
        <v>#N/A</v>
      </c>
      <c r="F28" s="15" t="e">
        <f ca="1"/>
        <v>#N/A</v>
      </c>
      <c r="G28" s="5" t="e">
        <f ca="1"/>
        <v>#N/A</v>
      </c>
      <c r="H28" s="103" t="e">
        <f t="shared" ca="1" si="1"/>
        <v>#N/A</v>
      </c>
      <c r="I28" s="161" t="e">
        <f t="shared" ca="1" si="0"/>
        <v>#N/A</v>
      </c>
    </row>
    <row r="29" spans="1:9" x14ac:dyDescent="0.25">
      <c r="A29" s="14" t="e">
        <f ca="1"/>
        <v>#N/A</v>
      </c>
      <c r="B29" s="3" t="e">
        <f ca="1"/>
        <v>#N/A</v>
      </c>
      <c r="C29" s="6" t="e">
        <f ca="1"/>
        <v>#N/A</v>
      </c>
      <c r="D29" s="15" t="e">
        <f ca="1"/>
        <v>#N/A</v>
      </c>
      <c r="E29" s="15" t="e">
        <f ca="1"/>
        <v>#N/A</v>
      </c>
      <c r="F29" s="15" t="e">
        <f ca="1"/>
        <v>#N/A</v>
      </c>
      <c r="G29" s="5" t="e">
        <f ca="1"/>
        <v>#N/A</v>
      </c>
      <c r="H29" s="103" t="e">
        <f t="shared" ca="1" si="1"/>
        <v>#N/A</v>
      </c>
      <c r="I29" s="161" t="e">
        <f t="shared" ca="1" si="0"/>
        <v>#N/A</v>
      </c>
    </row>
    <row r="30" spans="1:9" x14ac:dyDescent="0.25">
      <c r="A30" s="14" t="e">
        <f ca="1"/>
        <v>#N/A</v>
      </c>
      <c r="B30" s="3" t="e">
        <f ca="1"/>
        <v>#N/A</v>
      </c>
      <c r="C30" s="6" t="e">
        <f ca="1"/>
        <v>#N/A</v>
      </c>
      <c r="D30" s="15" t="e">
        <f ca="1"/>
        <v>#N/A</v>
      </c>
      <c r="E30" s="15" t="e">
        <f ca="1"/>
        <v>#N/A</v>
      </c>
      <c r="F30" s="15" t="e">
        <f ca="1"/>
        <v>#N/A</v>
      </c>
      <c r="G30" s="5" t="e">
        <f ca="1"/>
        <v>#N/A</v>
      </c>
      <c r="H30" s="103" t="e">
        <f t="shared" ca="1" si="1"/>
        <v>#N/A</v>
      </c>
      <c r="I30" s="161" t="e">
        <f t="shared" ca="1" si="0"/>
        <v>#N/A</v>
      </c>
    </row>
    <row r="31" spans="1:9" x14ac:dyDescent="0.25">
      <c r="A31" s="14" t="e">
        <f ca="1"/>
        <v>#N/A</v>
      </c>
      <c r="B31" s="3" t="e">
        <f ca="1"/>
        <v>#N/A</v>
      </c>
      <c r="C31" s="6" t="e">
        <f ca="1"/>
        <v>#N/A</v>
      </c>
      <c r="D31" s="15" t="e">
        <f ca="1"/>
        <v>#N/A</v>
      </c>
      <c r="E31" s="15" t="e">
        <f ca="1"/>
        <v>#N/A</v>
      </c>
      <c r="F31" s="15" t="e">
        <f ca="1"/>
        <v>#N/A</v>
      </c>
      <c r="G31" s="5" t="e">
        <f ca="1"/>
        <v>#N/A</v>
      </c>
      <c r="H31" s="103" t="e">
        <f t="shared" ca="1" si="1"/>
        <v>#N/A</v>
      </c>
      <c r="I31" s="161" t="e">
        <f t="shared" ca="1" si="0"/>
        <v>#N/A</v>
      </c>
    </row>
    <row r="32" spans="1:9" x14ac:dyDescent="0.25">
      <c r="A32" s="14" t="e">
        <f ca="1"/>
        <v>#N/A</v>
      </c>
      <c r="B32" s="3" t="e">
        <f ca="1"/>
        <v>#N/A</v>
      </c>
      <c r="C32" s="6" t="e">
        <f ca="1"/>
        <v>#N/A</v>
      </c>
      <c r="D32" s="15" t="e">
        <f ca="1"/>
        <v>#N/A</v>
      </c>
      <c r="E32" s="15" t="e">
        <f ca="1"/>
        <v>#N/A</v>
      </c>
      <c r="F32" s="15" t="e">
        <f ca="1"/>
        <v>#N/A</v>
      </c>
      <c r="G32" s="5" t="e">
        <f ca="1"/>
        <v>#N/A</v>
      </c>
      <c r="H32" s="103" t="e">
        <f t="shared" ca="1" si="1"/>
        <v>#N/A</v>
      </c>
      <c r="I32" s="161" t="e">
        <f t="shared" ca="1" si="0"/>
        <v>#N/A</v>
      </c>
    </row>
    <row r="33" spans="1:9" x14ac:dyDescent="0.25">
      <c r="A33" s="14" t="e">
        <f ca="1"/>
        <v>#N/A</v>
      </c>
      <c r="B33" s="3" t="e">
        <f ca="1"/>
        <v>#N/A</v>
      </c>
      <c r="C33" s="6" t="e">
        <f ca="1"/>
        <v>#N/A</v>
      </c>
      <c r="D33" s="15" t="e">
        <f ca="1"/>
        <v>#N/A</v>
      </c>
      <c r="E33" s="15" t="e">
        <f ca="1"/>
        <v>#N/A</v>
      </c>
      <c r="F33" s="15" t="e">
        <f ca="1"/>
        <v>#N/A</v>
      </c>
      <c r="G33" s="5" t="e">
        <f ca="1"/>
        <v>#N/A</v>
      </c>
      <c r="H33" s="103" t="e">
        <f t="shared" ca="1" si="1"/>
        <v>#N/A</v>
      </c>
      <c r="I33" s="161" t="e">
        <f t="shared" ca="1" si="0"/>
        <v>#N/A</v>
      </c>
    </row>
    <row r="34" spans="1:9" x14ac:dyDescent="0.25">
      <c r="A34" s="14" t="e">
        <f ca="1"/>
        <v>#N/A</v>
      </c>
      <c r="B34" s="3" t="e">
        <f ca="1"/>
        <v>#N/A</v>
      </c>
      <c r="C34" s="6" t="e">
        <f ca="1"/>
        <v>#N/A</v>
      </c>
      <c r="D34" s="15" t="e">
        <f ca="1"/>
        <v>#N/A</v>
      </c>
      <c r="E34" s="15" t="e">
        <f ca="1"/>
        <v>#N/A</v>
      </c>
      <c r="F34" s="15" t="e">
        <f ca="1"/>
        <v>#N/A</v>
      </c>
      <c r="G34" s="5" t="e">
        <f ca="1"/>
        <v>#N/A</v>
      </c>
      <c r="H34" s="103" t="e">
        <f t="shared" ca="1" si="1"/>
        <v>#N/A</v>
      </c>
      <c r="I34" s="161" t="e">
        <f t="shared" ref="I34:I65" ca="1" si="2">H34*BTCPriceEUR</f>
        <v>#N/A</v>
      </c>
    </row>
    <row r="35" spans="1:9" x14ac:dyDescent="0.25">
      <c r="A35" s="14" t="e">
        <f ca="1"/>
        <v>#N/A</v>
      </c>
      <c r="B35" s="3" t="e">
        <f ca="1"/>
        <v>#N/A</v>
      </c>
      <c r="C35" s="6" t="e">
        <f ca="1"/>
        <v>#N/A</v>
      </c>
      <c r="D35" s="15" t="e">
        <f ca="1"/>
        <v>#N/A</v>
      </c>
      <c r="E35" s="15" t="e">
        <f ca="1"/>
        <v>#N/A</v>
      </c>
      <c r="F35" s="15" t="e">
        <f ca="1"/>
        <v>#N/A</v>
      </c>
      <c r="G35" s="5" t="e">
        <f ca="1"/>
        <v>#N/A</v>
      </c>
      <c r="H35" s="103" t="e">
        <f t="shared" ca="1" si="1"/>
        <v>#N/A</v>
      </c>
      <c r="I35" s="161" t="e">
        <f t="shared" ca="1" si="2"/>
        <v>#N/A</v>
      </c>
    </row>
    <row r="36" spans="1:9" x14ac:dyDescent="0.25">
      <c r="A36" s="14" t="e">
        <f ca="1"/>
        <v>#N/A</v>
      </c>
      <c r="B36" s="3" t="e">
        <f ca="1"/>
        <v>#N/A</v>
      </c>
      <c r="C36" s="6" t="e">
        <f ca="1"/>
        <v>#N/A</v>
      </c>
      <c r="D36" s="15" t="e">
        <f ca="1"/>
        <v>#N/A</v>
      </c>
      <c r="E36" s="15" t="e">
        <f ca="1"/>
        <v>#N/A</v>
      </c>
      <c r="F36" s="15" t="e">
        <f ca="1"/>
        <v>#N/A</v>
      </c>
      <c r="G36" s="5" t="e">
        <f ca="1"/>
        <v>#N/A</v>
      </c>
      <c r="H36" s="103" t="e">
        <f t="shared" ca="1" si="1"/>
        <v>#N/A</v>
      </c>
      <c r="I36" s="161" t="e">
        <f t="shared" ca="1" si="2"/>
        <v>#N/A</v>
      </c>
    </row>
    <row r="37" spans="1:9" x14ac:dyDescent="0.25">
      <c r="A37" s="14" t="e">
        <f ca="1"/>
        <v>#N/A</v>
      </c>
      <c r="B37" s="3" t="e">
        <f ca="1"/>
        <v>#N/A</v>
      </c>
      <c r="C37" s="6" t="e">
        <f ca="1"/>
        <v>#N/A</v>
      </c>
      <c r="D37" s="15" t="e">
        <f ca="1"/>
        <v>#N/A</v>
      </c>
      <c r="E37" s="15" t="e">
        <f ca="1"/>
        <v>#N/A</v>
      </c>
      <c r="F37" s="15" t="e">
        <f ca="1"/>
        <v>#N/A</v>
      </c>
      <c r="G37" s="5" t="e">
        <f ca="1"/>
        <v>#N/A</v>
      </c>
      <c r="H37" s="103" t="e">
        <f t="shared" ca="1" si="1"/>
        <v>#N/A</v>
      </c>
      <c r="I37" s="161" t="e">
        <f t="shared" ca="1" si="2"/>
        <v>#N/A</v>
      </c>
    </row>
    <row r="38" spans="1:9" x14ac:dyDescent="0.25">
      <c r="A38" s="14" t="e">
        <f ca="1"/>
        <v>#N/A</v>
      </c>
      <c r="B38" s="3" t="e">
        <f ca="1"/>
        <v>#N/A</v>
      </c>
      <c r="C38" s="6" t="e">
        <f ca="1"/>
        <v>#N/A</v>
      </c>
      <c r="D38" s="15" t="e">
        <f ca="1"/>
        <v>#N/A</v>
      </c>
      <c r="E38" s="15" t="e">
        <f ca="1"/>
        <v>#N/A</v>
      </c>
      <c r="F38" s="15" t="e">
        <f ca="1"/>
        <v>#N/A</v>
      </c>
      <c r="G38" s="5" t="e">
        <f ca="1"/>
        <v>#N/A</v>
      </c>
      <c r="H38" s="103" t="e">
        <f t="shared" ca="1" si="1"/>
        <v>#N/A</v>
      </c>
      <c r="I38" s="161" t="e">
        <f t="shared" ca="1" si="2"/>
        <v>#N/A</v>
      </c>
    </row>
    <row r="39" spans="1:9" x14ac:dyDescent="0.25">
      <c r="A39" s="14" t="e">
        <f ca="1"/>
        <v>#N/A</v>
      </c>
      <c r="B39" s="3" t="e">
        <f ca="1"/>
        <v>#N/A</v>
      </c>
      <c r="C39" s="6" t="e">
        <f ca="1"/>
        <v>#N/A</v>
      </c>
      <c r="D39" s="15" t="e">
        <f ca="1"/>
        <v>#N/A</v>
      </c>
      <c r="E39" s="15" t="e">
        <f ca="1"/>
        <v>#N/A</v>
      </c>
      <c r="F39" s="15" t="e">
        <f ca="1"/>
        <v>#N/A</v>
      </c>
      <c r="G39" s="5" t="e">
        <f ca="1"/>
        <v>#N/A</v>
      </c>
      <c r="H39" s="103" t="e">
        <f t="shared" ca="1" si="1"/>
        <v>#N/A</v>
      </c>
      <c r="I39" s="161" t="e">
        <f t="shared" ca="1" si="2"/>
        <v>#N/A</v>
      </c>
    </row>
    <row r="40" spans="1:9" x14ac:dyDescent="0.25">
      <c r="A40" s="14" t="e">
        <f ca="1"/>
        <v>#N/A</v>
      </c>
      <c r="B40" s="3" t="e">
        <f ca="1"/>
        <v>#N/A</v>
      </c>
      <c r="C40" s="6" t="e">
        <f ca="1"/>
        <v>#N/A</v>
      </c>
      <c r="D40" s="15" t="e">
        <f ca="1"/>
        <v>#N/A</v>
      </c>
      <c r="E40" s="15" t="e">
        <f ca="1"/>
        <v>#N/A</v>
      </c>
      <c r="F40" s="15" t="e">
        <f ca="1"/>
        <v>#N/A</v>
      </c>
      <c r="G40" s="5" t="e">
        <f ca="1"/>
        <v>#N/A</v>
      </c>
      <c r="H40" s="103" t="e">
        <f t="shared" ca="1" si="1"/>
        <v>#N/A</v>
      </c>
      <c r="I40" s="161" t="e">
        <f t="shared" ca="1" si="2"/>
        <v>#N/A</v>
      </c>
    </row>
    <row r="41" spans="1:9" x14ac:dyDescent="0.25">
      <c r="A41" s="14" t="e">
        <f ca="1"/>
        <v>#N/A</v>
      </c>
      <c r="B41" s="3" t="e">
        <f ca="1"/>
        <v>#N/A</v>
      </c>
      <c r="C41" s="6" t="e">
        <f ca="1"/>
        <v>#N/A</v>
      </c>
      <c r="D41" s="15" t="e">
        <f ca="1"/>
        <v>#N/A</v>
      </c>
      <c r="E41" s="15" t="e">
        <f ca="1"/>
        <v>#N/A</v>
      </c>
      <c r="F41" s="15" t="e">
        <f ca="1"/>
        <v>#N/A</v>
      </c>
      <c r="G41" s="5" t="e">
        <f ca="1"/>
        <v>#N/A</v>
      </c>
      <c r="H41" s="103" t="e">
        <f t="shared" ca="1" si="1"/>
        <v>#N/A</v>
      </c>
      <c r="I41" s="161" t="e">
        <f t="shared" ca="1" si="2"/>
        <v>#N/A</v>
      </c>
    </row>
    <row r="42" spans="1:9" x14ac:dyDescent="0.25">
      <c r="A42" s="14" t="e">
        <f ca="1"/>
        <v>#N/A</v>
      </c>
      <c r="B42" s="3" t="e">
        <f ca="1"/>
        <v>#N/A</v>
      </c>
      <c r="C42" s="6" t="e">
        <f ca="1"/>
        <v>#N/A</v>
      </c>
      <c r="D42" s="15" t="e">
        <f ca="1"/>
        <v>#N/A</v>
      </c>
      <c r="E42" s="15" t="e">
        <f ca="1"/>
        <v>#N/A</v>
      </c>
      <c r="F42" s="15" t="e">
        <f ca="1"/>
        <v>#N/A</v>
      </c>
      <c r="G42" s="5" t="e">
        <f ca="1"/>
        <v>#N/A</v>
      </c>
      <c r="H42" s="103" t="e">
        <f t="shared" ca="1" si="1"/>
        <v>#N/A</v>
      </c>
      <c r="I42" s="161" t="e">
        <f t="shared" ca="1" si="2"/>
        <v>#N/A</v>
      </c>
    </row>
    <row r="43" spans="1:9" x14ac:dyDescent="0.25">
      <c r="A43" s="14" t="e">
        <f ca="1"/>
        <v>#N/A</v>
      </c>
      <c r="B43" s="3" t="e">
        <f ca="1"/>
        <v>#N/A</v>
      </c>
      <c r="C43" s="6" t="e">
        <f ca="1"/>
        <v>#N/A</v>
      </c>
      <c r="D43" s="15" t="e">
        <f ca="1"/>
        <v>#N/A</v>
      </c>
      <c r="E43" s="15" t="e">
        <f ca="1"/>
        <v>#N/A</v>
      </c>
      <c r="F43" s="15" t="e">
        <f ca="1"/>
        <v>#N/A</v>
      </c>
      <c r="G43" s="5" t="e">
        <f ca="1"/>
        <v>#N/A</v>
      </c>
      <c r="H43" s="103" t="e">
        <f t="shared" ca="1" si="1"/>
        <v>#N/A</v>
      </c>
      <c r="I43" s="161" t="e">
        <f t="shared" ca="1" si="2"/>
        <v>#N/A</v>
      </c>
    </row>
    <row r="44" spans="1:9" x14ac:dyDescent="0.25">
      <c r="A44" s="14" t="e">
        <f ca="1"/>
        <v>#N/A</v>
      </c>
      <c r="B44" s="3" t="e">
        <f ca="1"/>
        <v>#N/A</v>
      </c>
      <c r="C44" s="6" t="e">
        <f ca="1"/>
        <v>#N/A</v>
      </c>
      <c r="D44" s="15" t="e">
        <f ca="1"/>
        <v>#N/A</v>
      </c>
      <c r="E44" s="15" t="e">
        <f ca="1"/>
        <v>#N/A</v>
      </c>
      <c r="F44" s="15" t="e">
        <f ca="1"/>
        <v>#N/A</v>
      </c>
      <c r="G44" s="5" t="e">
        <f ca="1"/>
        <v>#N/A</v>
      </c>
      <c r="H44" s="103" t="e">
        <f t="shared" ca="1" si="1"/>
        <v>#N/A</v>
      </c>
      <c r="I44" s="161" t="e">
        <f t="shared" ca="1" si="2"/>
        <v>#N/A</v>
      </c>
    </row>
    <row r="45" spans="1:9" x14ac:dyDescent="0.25">
      <c r="A45" s="14" t="e">
        <f ca="1"/>
        <v>#N/A</v>
      </c>
      <c r="B45" s="3" t="e">
        <f ca="1"/>
        <v>#N/A</v>
      </c>
      <c r="C45" s="6" t="e">
        <f ca="1"/>
        <v>#N/A</v>
      </c>
      <c r="D45" s="15" t="e">
        <f ca="1"/>
        <v>#N/A</v>
      </c>
      <c r="E45" s="15" t="e">
        <f ca="1"/>
        <v>#N/A</v>
      </c>
      <c r="F45" s="15" t="e">
        <f ca="1"/>
        <v>#N/A</v>
      </c>
      <c r="G45" s="5" t="e">
        <f ca="1"/>
        <v>#N/A</v>
      </c>
      <c r="H45" s="103" t="e">
        <f t="shared" ca="1" si="1"/>
        <v>#N/A</v>
      </c>
      <c r="I45" s="161" t="e">
        <f t="shared" ca="1" si="2"/>
        <v>#N/A</v>
      </c>
    </row>
    <row r="46" spans="1:9" x14ac:dyDescent="0.25">
      <c r="A46" s="14" t="e">
        <f ca="1"/>
        <v>#N/A</v>
      </c>
      <c r="B46" s="3" t="e">
        <f ca="1"/>
        <v>#N/A</v>
      </c>
      <c r="C46" s="6" t="e">
        <f ca="1"/>
        <v>#N/A</v>
      </c>
      <c r="D46" s="15" t="e">
        <f ca="1"/>
        <v>#N/A</v>
      </c>
      <c r="E46" s="15" t="e">
        <f ca="1"/>
        <v>#N/A</v>
      </c>
      <c r="F46" s="15" t="e">
        <f ca="1"/>
        <v>#N/A</v>
      </c>
      <c r="G46" s="5" t="e">
        <f ca="1"/>
        <v>#N/A</v>
      </c>
      <c r="H46" s="103" t="e">
        <f t="shared" ca="1" si="1"/>
        <v>#N/A</v>
      </c>
      <c r="I46" s="161" t="e">
        <f t="shared" ca="1" si="2"/>
        <v>#N/A</v>
      </c>
    </row>
    <row r="47" spans="1:9" x14ac:dyDescent="0.25">
      <c r="A47" s="14" t="e">
        <f ca="1"/>
        <v>#N/A</v>
      </c>
      <c r="B47" s="3" t="e">
        <f ca="1"/>
        <v>#N/A</v>
      </c>
      <c r="C47" s="6" t="e">
        <f ca="1"/>
        <v>#N/A</v>
      </c>
      <c r="D47" s="15" t="e">
        <f ca="1"/>
        <v>#N/A</v>
      </c>
      <c r="E47" s="15" t="e">
        <f ca="1"/>
        <v>#N/A</v>
      </c>
      <c r="F47" s="15" t="e">
        <f ca="1"/>
        <v>#N/A</v>
      </c>
      <c r="G47" s="5" t="e">
        <f ca="1"/>
        <v>#N/A</v>
      </c>
      <c r="H47" s="103" t="e">
        <f t="shared" ca="1" si="1"/>
        <v>#N/A</v>
      </c>
      <c r="I47" s="161" t="e">
        <f t="shared" ca="1" si="2"/>
        <v>#N/A</v>
      </c>
    </row>
    <row r="48" spans="1:9" x14ac:dyDescent="0.25">
      <c r="A48" s="14" t="e">
        <f ca="1"/>
        <v>#N/A</v>
      </c>
      <c r="B48" s="3" t="e">
        <f ca="1"/>
        <v>#N/A</v>
      </c>
      <c r="C48" s="6" t="e">
        <f ca="1"/>
        <v>#N/A</v>
      </c>
      <c r="D48" s="15" t="e">
        <f ca="1"/>
        <v>#N/A</v>
      </c>
      <c r="E48" s="15" t="e">
        <f ca="1"/>
        <v>#N/A</v>
      </c>
      <c r="F48" s="15" t="e">
        <f ca="1"/>
        <v>#N/A</v>
      </c>
      <c r="G48" s="5" t="e">
        <f ca="1"/>
        <v>#N/A</v>
      </c>
      <c r="H48" s="103" t="e">
        <f t="shared" ca="1" si="1"/>
        <v>#N/A</v>
      </c>
      <c r="I48" s="161" t="e">
        <f t="shared" ca="1" si="2"/>
        <v>#N/A</v>
      </c>
    </row>
    <row r="49" spans="1:9" x14ac:dyDescent="0.25">
      <c r="A49" s="14" t="e">
        <f ca="1"/>
        <v>#N/A</v>
      </c>
      <c r="B49" s="3" t="e">
        <f ca="1"/>
        <v>#N/A</v>
      </c>
      <c r="C49" s="6" t="e">
        <f ca="1"/>
        <v>#N/A</v>
      </c>
      <c r="D49" s="15" t="e">
        <f ca="1"/>
        <v>#N/A</v>
      </c>
      <c r="E49" s="15" t="e">
        <f ca="1"/>
        <v>#N/A</v>
      </c>
      <c r="F49" s="15" t="e">
        <f ca="1"/>
        <v>#N/A</v>
      </c>
      <c r="G49" s="5" t="e">
        <f ca="1"/>
        <v>#N/A</v>
      </c>
      <c r="H49" s="103" t="e">
        <f t="shared" ca="1" si="1"/>
        <v>#N/A</v>
      </c>
      <c r="I49" s="161" t="e">
        <f t="shared" ca="1" si="2"/>
        <v>#N/A</v>
      </c>
    </row>
    <row r="50" spans="1:9" x14ac:dyDescent="0.25">
      <c r="A50" s="14" t="e">
        <f ca="1"/>
        <v>#N/A</v>
      </c>
      <c r="B50" s="3" t="e">
        <f ca="1"/>
        <v>#N/A</v>
      </c>
      <c r="C50" s="6" t="e">
        <f ca="1"/>
        <v>#N/A</v>
      </c>
      <c r="D50" s="15" t="e">
        <f ca="1"/>
        <v>#N/A</v>
      </c>
      <c r="E50" s="15" t="e">
        <f ca="1"/>
        <v>#N/A</v>
      </c>
      <c r="F50" s="15" t="e">
        <f ca="1"/>
        <v>#N/A</v>
      </c>
      <c r="G50" s="5" t="e">
        <f ca="1"/>
        <v>#N/A</v>
      </c>
      <c r="H50" s="103" t="e">
        <f t="shared" ca="1" si="1"/>
        <v>#N/A</v>
      </c>
      <c r="I50" s="161" t="e">
        <f t="shared" ca="1" si="2"/>
        <v>#N/A</v>
      </c>
    </row>
    <row r="51" spans="1:9" x14ac:dyDescent="0.25">
      <c r="A51" s="14" t="e">
        <f ca="1"/>
        <v>#N/A</v>
      </c>
      <c r="B51" s="3" t="e">
        <f ca="1"/>
        <v>#N/A</v>
      </c>
      <c r="C51" s="6" t="e">
        <f ca="1"/>
        <v>#N/A</v>
      </c>
      <c r="D51" s="15" t="e">
        <f ca="1"/>
        <v>#N/A</v>
      </c>
      <c r="E51" s="15" t="e">
        <f ca="1"/>
        <v>#N/A</v>
      </c>
      <c r="F51" s="15" t="e">
        <f ca="1"/>
        <v>#N/A</v>
      </c>
      <c r="G51" s="5" t="e">
        <f ca="1"/>
        <v>#N/A</v>
      </c>
      <c r="H51" s="103" t="e">
        <f t="shared" ca="1" si="1"/>
        <v>#N/A</v>
      </c>
      <c r="I51" s="161" t="e">
        <f t="shared" ca="1" si="2"/>
        <v>#N/A</v>
      </c>
    </row>
    <row r="52" spans="1:9" x14ac:dyDescent="0.25">
      <c r="A52" s="14" t="e">
        <f ca="1"/>
        <v>#N/A</v>
      </c>
      <c r="B52" s="3" t="e">
        <f ca="1"/>
        <v>#N/A</v>
      </c>
      <c r="C52" s="6" t="e">
        <f ca="1"/>
        <v>#N/A</v>
      </c>
      <c r="D52" s="15" t="e">
        <f ca="1"/>
        <v>#N/A</v>
      </c>
      <c r="E52" s="15" t="e">
        <f ca="1"/>
        <v>#N/A</v>
      </c>
      <c r="F52" s="15" t="e">
        <f ca="1"/>
        <v>#N/A</v>
      </c>
      <c r="G52" s="5" t="e">
        <f ca="1"/>
        <v>#N/A</v>
      </c>
      <c r="H52" s="103" t="e">
        <f t="shared" ca="1" si="1"/>
        <v>#N/A</v>
      </c>
      <c r="I52" s="161" t="e">
        <f t="shared" ca="1" si="2"/>
        <v>#N/A</v>
      </c>
    </row>
    <row r="53" spans="1:9" x14ac:dyDescent="0.25">
      <c r="A53" s="14" t="e">
        <f ca="1"/>
        <v>#N/A</v>
      </c>
      <c r="B53" s="3" t="e">
        <f ca="1"/>
        <v>#N/A</v>
      </c>
      <c r="C53" s="6" t="e">
        <f ca="1"/>
        <v>#N/A</v>
      </c>
      <c r="D53" s="15" t="e">
        <f ca="1"/>
        <v>#N/A</v>
      </c>
      <c r="E53" s="15" t="e">
        <f ca="1"/>
        <v>#N/A</v>
      </c>
      <c r="F53" s="15" t="e">
        <f ca="1"/>
        <v>#N/A</v>
      </c>
      <c r="G53" s="5" t="e">
        <f ca="1"/>
        <v>#N/A</v>
      </c>
      <c r="H53" s="103" t="e">
        <f t="shared" ca="1" si="1"/>
        <v>#N/A</v>
      </c>
      <c r="I53" s="161" t="e">
        <f t="shared" ca="1" si="2"/>
        <v>#N/A</v>
      </c>
    </row>
    <row r="54" spans="1:9" x14ac:dyDescent="0.25">
      <c r="A54" s="14" t="e">
        <f ca="1"/>
        <v>#N/A</v>
      </c>
      <c r="B54" s="3" t="e">
        <f ca="1"/>
        <v>#N/A</v>
      </c>
      <c r="C54" s="6" t="e">
        <f ca="1"/>
        <v>#N/A</v>
      </c>
      <c r="D54" s="15" t="e">
        <f ca="1"/>
        <v>#N/A</v>
      </c>
      <c r="E54" s="15" t="e">
        <f ca="1"/>
        <v>#N/A</v>
      </c>
      <c r="F54" s="15" t="e">
        <f ca="1"/>
        <v>#N/A</v>
      </c>
      <c r="G54" s="5" t="e">
        <f ca="1"/>
        <v>#N/A</v>
      </c>
      <c r="H54" s="103" t="e">
        <f t="shared" ca="1" si="1"/>
        <v>#N/A</v>
      </c>
      <c r="I54" s="161" t="e">
        <f t="shared" ca="1" si="2"/>
        <v>#N/A</v>
      </c>
    </row>
    <row r="55" spans="1:9" x14ac:dyDescent="0.25">
      <c r="A55" s="14" t="e">
        <f ca="1"/>
        <v>#N/A</v>
      </c>
      <c r="B55" s="3" t="e">
        <f ca="1"/>
        <v>#N/A</v>
      </c>
      <c r="C55" s="6" t="e">
        <f ca="1"/>
        <v>#N/A</v>
      </c>
      <c r="D55" s="15" t="e">
        <f ca="1"/>
        <v>#N/A</v>
      </c>
      <c r="E55" s="15" t="e">
        <f ca="1"/>
        <v>#N/A</v>
      </c>
      <c r="F55" s="15" t="e">
        <f ca="1"/>
        <v>#N/A</v>
      </c>
      <c r="G55" s="5" t="e">
        <f ca="1"/>
        <v>#N/A</v>
      </c>
      <c r="H55" s="103" t="e">
        <f t="shared" ca="1" si="1"/>
        <v>#N/A</v>
      </c>
      <c r="I55" s="161" t="e">
        <f t="shared" ca="1" si="2"/>
        <v>#N/A</v>
      </c>
    </row>
    <row r="56" spans="1:9" x14ac:dyDescent="0.25">
      <c r="A56" s="14" t="e">
        <f ca="1"/>
        <v>#N/A</v>
      </c>
      <c r="B56" s="3" t="e">
        <f ca="1"/>
        <v>#N/A</v>
      </c>
      <c r="C56" s="6" t="e">
        <f ca="1"/>
        <v>#N/A</v>
      </c>
      <c r="D56" s="15" t="e">
        <f ca="1"/>
        <v>#N/A</v>
      </c>
      <c r="E56" s="15" t="e">
        <f ca="1"/>
        <v>#N/A</v>
      </c>
      <c r="F56" s="15" t="e">
        <f ca="1"/>
        <v>#N/A</v>
      </c>
      <c r="G56" s="5" t="e">
        <f ca="1"/>
        <v>#N/A</v>
      </c>
      <c r="H56" s="103" t="e">
        <f t="shared" ca="1" si="1"/>
        <v>#N/A</v>
      </c>
      <c r="I56" s="161" t="e">
        <f t="shared" ca="1" si="2"/>
        <v>#N/A</v>
      </c>
    </row>
    <row r="57" spans="1:9" x14ac:dyDescent="0.25">
      <c r="A57" s="14" t="e">
        <f ca="1"/>
        <v>#N/A</v>
      </c>
      <c r="B57" s="3" t="e">
        <f ca="1"/>
        <v>#N/A</v>
      </c>
      <c r="C57" s="6" t="e">
        <f ca="1"/>
        <v>#N/A</v>
      </c>
      <c r="D57" s="15" t="e">
        <f ca="1"/>
        <v>#N/A</v>
      </c>
      <c r="E57" s="15" t="e">
        <f ca="1"/>
        <v>#N/A</v>
      </c>
      <c r="F57" s="15" t="e">
        <f ca="1"/>
        <v>#N/A</v>
      </c>
      <c r="G57" s="5" t="e">
        <f ca="1"/>
        <v>#N/A</v>
      </c>
      <c r="H57" s="103" t="e">
        <f t="shared" ca="1" si="1"/>
        <v>#N/A</v>
      </c>
      <c r="I57" s="161" t="e">
        <f t="shared" ca="1" si="2"/>
        <v>#N/A</v>
      </c>
    </row>
    <row r="58" spans="1:9" x14ac:dyDescent="0.25">
      <c r="A58" s="14" t="e">
        <f ca="1"/>
        <v>#N/A</v>
      </c>
      <c r="B58" s="3" t="e">
        <f ca="1"/>
        <v>#N/A</v>
      </c>
      <c r="C58" s="6" t="e">
        <f ca="1"/>
        <v>#N/A</v>
      </c>
      <c r="D58" s="15" t="e">
        <f ca="1"/>
        <v>#N/A</v>
      </c>
      <c r="E58" s="15" t="e">
        <f ca="1"/>
        <v>#N/A</v>
      </c>
      <c r="F58" s="15" t="e">
        <f ca="1"/>
        <v>#N/A</v>
      </c>
      <c r="G58" s="5" t="e">
        <f ca="1"/>
        <v>#N/A</v>
      </c>
      <c r="H58" s="103" t="e">
        <f t="shared" ca="1" si="1"/>
        <v>#N/A</v>
      </c>
      <c r="I58" s="161" t="e">
        <f t="shared" ca="1" si="2"/>
        <v>#N/A</v>
      </c>
    </row>
    <row r="59" spans="1:9" x14ac:dyDescent="0.25">
      <c r="A59" s="14" t="e">
        <f ca="1"/>
        <v>#N/A</v>
      </c>
      <c r="B59" s="3" t="e">
        <f ca="1"/>
        <v>#N/A</v>
      </c>
      <c r="C59" s="6" t="e">
        <f ca="1"/>
        <v>#N/A</v>
      </c>
      <c r="D59" s="15" t="e">
        <f ca="1"/>
        <v>#N/A</v>
      </c>
      <c r="E59" s="15" t="e">
        <f ca="1"/>
        <v>#N/A</v>
      </c>
      <c r="F59" s="15" t="e">
        <f ca="1"/>
        <v>#N/A</v>
      </c>
      <c r="G59" s="5" t="e">
        <f ca="1"/>
        <v>#N/A</v>
      </c>
      <c r="H59" s="103" t="e">
        <f t="shared" ca="1" si="1"/>
        <v>#N/A</v>
      </c>
      <c r="I59" s="161" t="e">
        <f t="shared" ca="1" si="2"/>
        <v>#N/A</v>
      </c>
    </row>
    <row r="60" spans="1:9" x14ac:dyDescent="0.25">
      <c r="A60" s="14" t="e">
        <f ca="1"/>
        <v>#N/A</v>
      </c>
      <c r="B60" s="3" t="e">
        <f ca="1"/>
        <v>#N/A</v>
      </c>
      <c r="C60" s="6" t="e">
        <f ca="1"/>
        <v>#N/A</v>
      </c>
      <c r="D60" s="15" t="e">
        <f ca="1"/>
        <v>#N/A</v>
      </c>
      <c r="E60" s="15" t="e">
        <f ca="1"/>
        <v>#N/A</v>
      </c>
      <c r="F60" s="15" t="e">
        <f ca="1"/>
        <v>#N/A</v>
      </c>
      <c r="G60" s="5" t="e">
        <f ca="1"/>
        <v>#N/A</v>
      </c>
      <c r="H60" s="103" t="e">
        <f t="shared" ca="1" si="1"/>
        <v>#N/A</v>
      </c>
      <c r="I60" s="161" t="e">
        <f t="shared" ca="1" si="2"/>
        <v>#N/A</v>
      </c>
    </row>
    <row r="61" spans="1:9" x14ac:dyDescent="0.25">
      <c r="A61" s="14" t="e">
        <f ca="1"/>
        <v>#N/A</v>
      </c>
      <c r="B61" s="3" t="e">
        <f ca="1"/>
        <v>#N/A</v>
      </c>
      <c r="C61" s="6" t="e">
        <f ca="1"/>
        <v>#N/A</v>
      </c>
      <c r="D61" s="15" t="e">
        <f ca="1"/>
        <v>#N/A</v>
      </c>
      <c r="E61" s="15" t="e">
        <f ca="1"/>
        <v>#N/A</v>
      </c>
      <c r="F61" s="15" t="e">
        <f ca="1"/>
        <v>#N/A</v>
      </c>
      <c r="G61" s="5" t="e">
        <f ca="1"/>
        <v>#N/A</v>
      </c>
      <c r="H61" s="103" t="e">
        <f t="shared" ca="1" si="1"/>
        <v>#N/A</v>
      </c>
      <c r="I61" s="161" t="e">
        <f t="shared" ca="1" si="2"/>
        <v>#N/A</v>
      </c>
    </row>
    <row r="62" spans="1:9" x14ac:dyDescent="0.25">
      <c r="A62" s="14" t="e">
        <f ca="1"/>
        <v>#N/A</v>
      </c>
      <c r="B62" s="3" t="e">
        <f ca="1"/>
        <v>#N/A</v>
      </c>
      <c r="C62" s="6" t="e">
        <f ca="1"/>
        <v>#N/A</v>
      </c>
      <c r="D62" s="15" t="e">
        <f ca="1"/>
        <v>#N/A</v>
      </c>
      <c r="E62" s="15" t="e">
        <f ca="1"/>
        <v>#N/A</v>
      </c>
      <c r="F62" s="15" t="e">
        <f ca="1"/>
        <v>#N/A</v>
      </c>
      <c r="G62" s="5" t="e">
        <f ca="1"/>
        <v>#N/A</v>
      </c>
      <c r="H62" s="103" t="e">
        <f t="shared" ca="1" si="1"/>
        <v>#N/A</v>
      </c>
      <c r="I62" s="161" t="e">
        <f t="shared" ca="1" si="2"/>
        <v>#N/A</v>
      </c>
    </row>
    <row r="63" spans="1:9" x14ac:dyDescent="0.25">
      <c r="A63" s="14" t="e">
        <f ca="1"/>
        <v>#N/A</v>
      </c>
      <c r="B63" s="3" t="e">
        <f ca="1"/>
        <v>#N/A</v>
      </c>
      <c r="C63" s="6" t="e">
        <f ca="1"/>
        <v>#N/A</v>
      </c>
      <c r="D63" s="15" t="e">
        <f ca="1"/>
        <v>#N/A</v>
      </c>
      <c r="E63" s="15" t="e">
        <f ca="1"/>
        <v>#N/A</v>
      </c>
      <c r="F63" s="15" t="e">
        <f ca="1"/>
        <v>#N/A</v>
      </c>
      <c r="G63" s="5" t="e">
        <f ca="1"/>
        <v>#N/A</v>
      </c>
      <c r="H63" s="103" t="e">
        <f t="shared" ca="1" si="1"/>
        <v>#N/A</v>
      </c>
      <c r="I63" s="161" t="e">
        <f t="shared" ca="1" si="2"/>
        <v>#N/A</v>
      </c>
    </row>
    <row r="64" spans="1:9" x14ac:dyDescent="0.25">
      <c r="A64" s="14" t="e">
        <f ca="1"/>
        <v>#N/A</v>
      </c>
      <c r="B64" s="3" t="e">
        <f ca="1"/>
        <v>#N/A</v>
      </c>
      <c r="C64" s="6" t="e">
        <f ca="1"/>
        <v>#N/A</v>
      </c>
      <c r="D64" s="15" t="e">
        <f ca="1"/>
        <v>#N/A</v>
      </c>
      <c r="E64" s="15" t="e">
        <f ca="1"/>
        <v>#N/A</v>
      </c>
      <c r="F64" s="15" t="e">
        <f ca="1"/>
        <v>#N/A</v>
      </c>
      <c r="G64" s="5" t="e">
        <f ca="1"/>
        <v>#N/A</v>
      </c>
      <c r="H64" s="103" t="e">
        <f t="shared" ca="1" si="1"/>
        <v>#N/A</v>
      </c>
      <c r="I64" s="161" t="e">
        <f t="shared" ca="1" si="2"/>
        <v>#N/A</v>
      </c>
    </row>
    <row r="65" spans="1:9" x14ac:dyDescent="0.25">
      <c r="A65" s="14" t="e">
        <f ca="1"/>
        <v>#N/A</v>
      </c>
      <c r="B65" s="3" t="e">
        <f ca="1"/>
        <v>#N/A</v>
      </c>
      <c r="C65" s="6" t="e">
        <f ca="1"/>
        <v>#N/A</v>
      </c>
      <c r="D65" s="15" t="e">
        <f ca="1"/>
        <v>#N/A</v>
      </c>
      <c r="E65" s="15" t="e">
        <f ca="1"/>
        <v>#N/A</v>
      </c>
      <c r="F65" s="15" t="e">
        <f ca="1"/>
        <v>#N/A</v>
      </c>
      <c r="G65" s="5" t="e">
        <f ca="1"/>
        <v>#N/A</v>
      </c>
      <c r="H65" s="103" t="e">
        <f t="shared" ca="1" si="1"/>
        <v>#N/A</v>
      </c>
      <c r="I65" s="161" t="e">
        <f t="shared" ca="1" si="2"/>
        <v>#N/A</v>
      </c>
    </row>
    <row r="66" spans="1:9" x14ac:dyDescent="0.25">
      <c r="A66" s="14" t="e">
        <f ca="1"/>
        <v>#N/A</v>
      </c>
      <c r="B66" s="3" t="e">
        <f ca="1"/>
        <v>#N/A</v>
      </c>
      <c r="C66" s="6" t="e">
        <f ca="1"/>
        <v>#N/A</v>
      </c>
      <c r="D66" s="15" t="e">
        <f ca="1"/>
        <v>#N/A</v>
      </c>
      <c r="E66" s="15" t="e">
        <f ca="1"/>
        <v>#N/A</v>
      </c>
      <c r="F66" s="15" t="e">
        <f ca="1"/>
        <v>#N/A</v>
      </c>
      <c r="G66" s="5" t="e">
        <f ca="1"/>
        <v>#N/A</v>
      </c>
      <c r="H66" s="103" t="e">
        <f t="shared" ca="1" si="1"/>
        <v>#N/A</v>
      </c>
      <c r="I66" s="161" t="e">
        <f t="shared" ref="I66:I97" ca="1" si="3">H66*BTCPriceEUR</f>
        <v>#N/A</v>
      </c>
    </row>
    <row r="67" spans="1:9" x14ac:dyDescent="0.25">
      <c r="A67" s="14" t="e">
        <f ca="1"/>
        <v>#N/A</v>
      </c>
      <c r="B67" s="3" t="e">
        <f ca="1"/>
        <v>#N/A</v>
      </c>
      <c r="C67" s="6" t="e">
        <f ca="1"/>
        <v>#N/A</v>
      </c>
      <c r="D67" s="15" t="e">
        <f ca="1"/>
        <v>#N/A</v>
      </c>
      <c r="E67" s="15" t="e">
        <f ca="1"/>
        <v>#N/A</v>
      </c>
      <c r="F67" s="15" t="e">
        <f ca="1"/>
        <v>#N/A</v>
      </c>
      <c r="G67" s="5" t="e">
        <f ca="1"/>
        <v>#N/A</v>
      </c>
      <c r="H67" s="103" t="e">
        <f t="shared" ref="H67:H130" ca="1" si="4">F67+G67</f>
        <v>#N/A</v>
      </c>
      <c r="I67" s="161" t="e">
        <f t="shared" ca="1" si="3"/>
        <v>#N/A</v>
      </c>
    </row>
    <row r="68" spans="1:9" x14ac:dyDescent="0.25">
      <c r="A68" s="14" t="e">
        <f ca="1"/>
        <v>#N/A</v>
      </c>
      <c r="B68" s="3" t="e">
        <f ca="1"/>
        <v>#N/A</v>
      </c>
      <c r="C68" s="6" t="e">
        <f ca="1"/>
        <v>#N/A</v>
      </c>
      <c r="D68" s="15" t="e">
        <f ca="1"/>
        <v>#N/A</v>
      </c>
      <c r="E68" s="15" t="e">
        <f ca="1"/>
        <v>#N/A</v>
      </c>
      <c r="F68" s="15" t="e">
        <f ca="1"/>
        <v>#N/A</v>
      </c>
      <c r="G68" s="5" t="e">
        <f ca="1"/>
        <v>#N/A</v>
      </c>
      <c r="H68" s="103" t="e">
        <f t="shared" ca="1" si="4"/>
        <v>#N/A</v>
      </c>
      <c r="I68" s="161" t="e">
        <f t="shared" ca="1" si="3"/>
        <v>#N/A</v>
      </c>
    </row>
    <row r="69" spans="1:9" x14ac:dyDescent="0.25">
      <c r="A69" s="14" t="e">
        <f ca="1"/>
        <v>#N/A</v>
      </c>
      <c r="B69" s="3" t="e">
        <f ca="1"/>
        <v>#N/A</v>
      </c>
      <c r="C69" s="6" t="e">
        <f ca="1"/>
        <v>#N/A</v>
      </c>
      <c r="D69" s="15" t="e">
        <f ca="1"/>
        <v>#N/A</v>
      </c>
      <c r="E69" s="15" t="e">
        <f ca="1"/>
        <v>#N/A</v>
      </c>
      <c r="F69" s="15" t="e">
        <f ca="1"/>
        <v>#N/A</v>
      </c>
      <c r="G69" s="5" t="e">
        <f ca="1"/>
        <v>#N/A</v>
      </c>
      <c r="H69" s="103" t="e">
        <f t="shared" ca="1" si="4"/>
        <v>#N/A</v>
      </c>
      <c r="I69" s="161" t="e">
        <f t="shared" ca="1" si="3"/>
        <v>#N/A</v>
      </c>
    </row>
    <row r="70" spans="1:9" x14ac:dyDescent="0.25">
      <c r="A70" s="14" t="e">
        <f ca="1"/>
        <v>#N/A</v>
      </c>
      <c r="B70" s="3" t="e">
        <f ca="1"/>
        <v>#N/A</v>
      </c>
      <c r="C70" s="6" t="e">
        <f ca="1"/>
        <v>#N/A</v>
      </c>
      <c r="D70" s="15" t="e">
        <f ca="1"/>
        <v>#N/A</v>
      </c>
      <c r="E70" s="15" t="e">
        <f ca="1"/>
        <v>#N/A</v>
      </c>
      <c r="F70" s="15" t="e">
        <f ca="1"/>
        <v>#N/A</v>
      </c>
      <c r="G70" s="5" t="e">
        <f ca="1"/>
        <v>#N/A</v>
      </c>
      <c r="H70" s="103" t="e">
        <f t="shared" ca="1" si="4"/>
        <v>#N/A</v>
      </c>
      <c r="I70" s="161" t="e">
        <f t="shared" ca="1" si="3"/>
        <v>#N/A</v>
      </c>
    </row>
    <row r="71" spans="1:9" x14ac:dyDescent="0.25">
      <c r="A71" s="14" t="e">
        <f ca="1"/>
        <v>#N/A</v>
      </c>
      <c r="B71" s="3" t="e">
        <f ca="1"/>
        <v>#N/A</v>
      </c>
      <c r="C71" s="6" t="e">
        <f ca="1"/>
        <v>#N/A</v>
      </c>
      <c r="D71" s="15" t="e">
        <f ca="1"/>
        <v>#N/A</v>
      </c>
      <c r="E71" s="15" t="e">
        <f ca="1"/>
        <v>#N/A</v>
      </c>
      <c r="F71" s="15" t="e">
        <f ca="1"/>
        <v>#N/A</v>
      </c>
      <c r="G71" s="5" t="e">
        <f ca="1"/>
        <v>#N/A</v>
      </c>
      <c r="H71" s="103" t="e">
        <f t="shared" ca="1" si="4"/>
        <v>#N/A</v>
      </c>
      <c r="I71" s="161" t="e">
        <f t="shared" ca="1" si="3"/>
        <v>#N/A</v>
      </c>
    </row>
    <row r="72" spans="1:9" x14ac:dyDescent="0.25">
      <c r="A72" s="14" t="e">
        <f ca="1"/>
        <v>#N/A</v>
      </c>
      <c r="B72" s="3" t="e">
        <f ca="1"/>
        <v>#N/A</v>
      </c>
      <c r="C72" s="6" t="e">
        <f ca="1"/>
        <v>#N/A</v>
      </c>
      <c r="D72" s="15" t="e">
        <f ca="1"/>
        <v>#N/A</v>
      </c>
      <c r="E72" s="15" t="e">
        <f ca="1"/>
        <v>#N/A</v>
      </c>
      <c r="F72" s="15" t="e">
        <f ca="1"/>
        <v>#N/A</v>
      </c>
      <c r="G72" s="5" t="e">
        <f ca="1"/>
        <v>#N/A</v>
      </c>
      <c r="H72" s="103" t="e">
        <f t="shared" ca="1" si="4"/>
        <v>#N/A</v>
      </c>
      <c r="I72" s="161" t="e">
        <f t="shared" ca="1" si="3"/>
        <v>#N/A</v>
      </c>
    </row>
    <row r="73" spans="1:9" x14ac:dyDescent="0.25">
      <c r="A73" s="14" t="e">
        <f ca="1"/>
        <v>#N/A</v>
      </c>
      <c r="B73" s="3" t="e">
        <f ca="1"/>
        <v>#N/A</v>
      </c>
      <c r="C73" s="6" t="e">
        <f ca="1"/>
        <v>#N/A</v>
      </c>
      <c r="D73" s="15" t="e">
        <f ca="1"/>
        <v>#N/A</v>
      </c>
      <c r="E73" s="15" t="e">
        <f ca="1"/>
        <v>#N/A</v>
      </c>
      <c r="F73" s="15" t="e">
        <f ca="1"/>
        <v>#N/A</v>
      </c>
      <c r="G73" s="5" t="e">
        <f ca="1"/>
        <v>#N/A</v>
      </c>
      <c r="H73" s="103" t="e">
        <f t="shared" ca="1" si="4"/>
        <v>#N/A</v>
      </c>
      <c r="I73" s="161" t="e">
        <f t="shared" ca="1" si="3"/>
        <v>#N/A</v>
      </c>
    </row>
    <row r="74" spans="1:9" x14ac:dyDescent="0.25">
      <c r="A74" s="14" t="e">
        <f ca="1"/>
        <v>#N/A</v>
      </c>
      <c r="B74" s="3" t="e">
        <f ca="1"/>
        <v>#N/A</v>
      </c>
      <c r="C74" s="6" t="e">
        <f ca="1"/>
        <v>#N/A</v>
      </c>
      <c r="D74" s="15" t="e">
        <f ca="1"/>
        <v>#N/A</v>
      </c>
      <c r="E74" s="15" t="e">
        <f ca="1"/>
        <v>#N/A</v>
      </c>
      <c r="F74" s="15" t="e">
        <f ca="1"/>
        <v>#N/A</v>
      </c>
      <c r="G74" s="5" t="e">
        <f ca="1"/>
        <v>#N/A</v>
      </c>
      <c r="H74" s="103" t="e">
        <f t="shared" ca="1" si="4"/>
        <v>#N/A</v>
      </c>
      <c r="I74" s="161" t="e">
        <f t="shared" ca="1" si="3"/>
        <v>#N/A</v>
      </c>
    </row>
    <row r="75" spans="1:9" x14ac:dyDescent="0.25">
      <c r="A75" s="14" t="e">
        <f ca="1"/>
        <v>#N/A</v>
      </c>
      <c r="B75" s="3" t="e">
        <f ca="1"/>
        <v>#N/A</v>
      </c>
      <c r="C75" s="6" t="e">
        <f ca="1"/>
        <v>#N/A</v>
      </c>
      <c r="D75" s="15" t="e">
        <f ca="1"/>
        <v>#N/A</v>
      </c>
      <c r="E75" s="15" t="e">
        <f ca="1"/>
        <v>#N/A</v>
      </c>
      <c r="F75" s="15" t="e">
        <f ca="1"/>
        <v>#N/A</v>
      </c>
      <c r="G75" s="5" t="e">
        <f ca="1"/>
        <v>#N/A</v>
      </c>
      <c r="H75" s="103" t="e">
        <f t="shared" ca="1" si="4"/>
        <v>#N/A</v>
      </c>
      <c r="I75" s="161" t="e">
        <f t="shared" ca="1" si="3"/>
        <v>#N/A</v>
      </c>
    </row>
    <row r="76" spans="1:9" x14ac:dyDescent="0.25">
      <c r="A76" s="14" t="e">
        <f ca="1"/>
        <v>#N/A</v>
      </c>
      <c r="B76" s="3" t="e">
        <f ca="1"/>
        <v>#N/A</v>
      </c>
      <c r="C76" s="6" t="e">
        <f ca="1"/>
        <v>#N/A</v>
      </c>
      <c r="D76" s="15" t="e">
        <f ca="1"/>
        <v>#N/A</v>
      </c>
      <c r="E76" s="15" t="e">
        <f ca="1"/>
        <v>#N/A</v>
      </c>
      <c r="F76" s="15" t="e">
        <f ca="1"/>
        <v>#N/A</v>
      </c>
      <c r="G76" s="5" t="e">
        <f ca="1"/>
        <v>#N/A</v>
      </c>
      <c r="H76" s="103" t="e">
        <f t="shared" ca="1" si="4"/>
        <v>#N/A</v>
      </c>
      <c r="I76" s="161" t="e">
        <f t="shared" ca="1" si="3"/>
        <v>#N/A</v>
      </c>
    </row>
    <row r="77" spans="1:9" x14ac:dyDescent="0.25">
      <c r="A77" s="14" t="e">
        <f ca="1"/>
        <v>#N/A</v>
      </c>
      <c r="B77" s="3" t="e">
        <f ca="1"/>
        <v>#N/A</v>
      </c>
      <c r="C77" s="6" t="e">
        <f ca="1"/>
        <v>#N/A</v>
      </c>
      <c r="D77" s="15" t="e">
        <f ca="1"/>
        <v>#N/A</v>
      </c>
      <c r="E77" s="15" t="e">
        <f ca="1"/>
        <v>#N/A</v>
      </c>
      <c r="F77" s="15" t="e">
        <f ca="1"/>
        <v>#N/A</v>
      </c>
      <c r="G77" s="5" t="e">
        <f ca="1"/>
        <v>#N/A</v>
      </c>
      <c r="H77" s="103" t="e">
        <f t="shared" ca="1" si="4"/>
        <v>#N/A</v>
      </c>
      <c r="I77" s="161" t="e">
        <f t="shared" ca="1" si="3"/>
        <v>#N/A</v>
      </c>
    </row>
    <row r="78" spans="1:9" x14ac:dyDescent="0.25">
      <c r="A78" s="14" t="e">
        <f ca="1"/>
        <v>#N/A</v>
      </c>
      <c r="B78" s="3" t="e">
        <f ca="1"/>
        <v>#N/A</v>
      </c>
      <c r="C78" s="6" t="e">
        <f ca="1"/>
        <v>#N/A</v>
      </c>
      <c r="D78" s="15" t="e">
        <f ca="1"/>
        <v>#N/A</v>
      </c>
      <c r="E78" s="15" t="e">
        <f ca="1"/>
        <v>#N/A</v>
      </c>
      <c r="F78" s="15" t="e">
        <f ca="1"/>
        <v>#N/A</v>
      </c>
      <c r="G78" s="5" t="e">
        <f ca="1"/>
        <v>#N/A</v>
      </c>
      <c r="H78" s="103" t="e">
        <f t="shared" ca="1" si="4"/>
        <v>#N/A</v>
      </c>
      <c r="I78" s="161" t="e">
        <f t="shared" ca="1" si="3"/>
        <v>#N/A</v>
      </c>
    </row>
    <row r="79" spans="1:9" x14ac:dyDescent="0.25">
      <c r="A79" s="14" t="e">
        <f ca="1"/>
        <v>#N/A</v>
      </c>
      <c r="B79" s="3" t="e">
        <f ca="1"/>
        <v>#N/A</v>
      </c>
      <c r="C79" s="6" t="e">
        <f ca="1"/>
        <v>#N/A</v>
      </c>
      <c r="D79" s="15" t="e">
        <f ca="1"/>
        <v>#N/A</v>
      </c>
      <c r="E79" s="15" t="e">
        <f ca="1"/>
        <v>#N/A</v>
      </c>
      <c r="F79" s="15" t="e">
        <f ca="1"/>
        <v>#N/A</v>
      </c>
      <c r="G79" s="5" t="e">
        <f ca="1"/>
        <v>#N/A</v>
      </c>
      <c r="H79" s="103" t="e">
        <f t="shared" ca="1" si="4"/>
        <v>#N/A</v>
      </c>
      <c r="I79" s="161" t="e">
        <f t="shared" ca="1" si="3"/>
        <v>#N/A</v>
      </c>
    </row>
    <row r="80" spans="1:9" x14ac:dyDescent="0.25">
      <c r="A80" s="14" t="e">
        <f ca="1"/>
        <v>#N/A</v>
      </c>
      <c r="B80" s="3" t="e">
        <f ca="1"/>
        <v>#N/A</v>
      </c>
      <c r="C80" s="6" t="e">
        <f ca="1"/>
        <v>#N/A</v>
      </c>
      <c r="D80" s="15" t="e">
        <f ca="1"/>
        <v>#N/A</v>
      </c>
      <c r="E80" s="15" t="e">
        <f ca="1"/>
        <v>#N/A</v>
      </c>
      <c r="F80" s="15" t="e">
        <f ca="1"/>
        <v>#N/A</v>
      </c>
      <c r="G80" s="5" t="e">
        <f ca="1"/>
        <v>#N/A</v>
      </c>
      <c r="H80" s="103" t="e">
        <f t="shared" ca="1" si="4"/>
        <v>#N/A</v>
      </c>
      <c r="I80" s="161" t="e">
        <f t="shared" ca="1" si="3"/>
        <v>#N/A</v>
      </c>
    </row>
    <row r="81" spans="1:9" x14ac:dyDescent="0.25">
      <c r="A81" s="14" t="e">
        <f ca="1"/>
        <v>#N/A</v>
      </c>
      <c r="B81" s="3" t="e">
        <f ca="1"/>
        <v>#N/A</v>
      </c>
      <c r="C81" s="6" t="e">
        <f ca="1"/>
        <v>#N/A</v>
      </c>
      <c r="D81" s="15" t="e">
        <f ca="1"/>
        <v>#N/A</v>
      </c>
      <c r="E81" s="15" t="e">
        <f ca="1"/>
        <v>#N/A</v>
      </c>
      <c r="F81" s="15" t="e">
        <f ca="1"/>
        <v>#N/A</v>
      </c>
      <c r="G81" s="5" t="e">
        <f ca="1"/>
        <v>#N/A</v>
      </c>
      <c r="H81" s="103" t="e">
        <f t="shared" ca="1" si="4"/>
        <v>#N/A</v>
      </c>
      <c r="I81" s="161" t="e">
        <f t="shared" ca="1" si="3"/>
        <v>#N/A</v>
      </c>
    </row>
    <row r="82" spans="1:9" x14ac:dyDescent="0.25">
      <c r="A82" s="14" t="e">
        <f ca="1"/>
        <v>#N/A</v>
      </c>
      <c r="B82" s="3" t="e">
        <f ca="1"/>
        <v>#N/A</v>
      </c>
      <c r="C82" s="6" t="e">
        <f ca="1"/>
        <v>#N/A</v>
      </c>
      <c r="D82" s="15" t="e">
        <f ca="1"/>
        <v>#N/A</v>
      </c>
      <c r="E82" s="15" t="e">
        <f ca="1"/>
        <v>#N/A</v>
      </c>
      <c r="F82" s="15" t="e">
        <f ca="1"/>
        <v>#N/A</v>
      </c>
      <c r="G82" s="5" t="e">
        <f ca="1"/>
        <v>#N/A</v>
      </c>
      <c r="H82" s="103" t="e">
        <f t="shared" ca="1" si="4"/>
        <v>#N/A</v>
      </c>
      <c r="I82" s="161" t="e">
        <f t="shared" ca="1" si="3"/>
        <v>#N/A</v>
      </c>
    </row>
    <row r="83" spans="1:9" x14ac:dyDescent="0.25">
      <c r="A83" s="14" t="e">
        <f ca="1"/>
        <v>#N/A</v>
      </c>
      <c r="B83" s="3" t="e">
        <f ca="1"/>
        <v>#N/A</v>
      </c>
      <c r="C83" s="6" t="e">
        <f ca="1"/>
        <v>#N/A</v>
      </c>
      <c r="D83" s="15" t="e">
        <f ca="1"/>
        <v>#N/A</v>
      </c>
      <c r="E83" s="15" t="e">
        <f ca="1"/>
        <v>#N/A</v>
      </c>
      <c r="F83" s="15" t="e">
        <f ca="1"/>
        <v>#N/A</v>
      </c>
      <c r="G83" s="5" t="e">
        <f ca="1"/>
        <v>#N/A</v>
      </c>
      <c r="H83" s="103" t="e">
        <f t="shared" ca="1" si="4"/>
        <v>#N/A</v>
      </c>
      <c r="I83" s="161" t="e">
        <f t="shared" ca="1" si="3"/>
        <v>#N/A</v>
      </c>
    </row>
    <row r="84" spans="1:9" x14ac:dyDescent="0.25">
      <c r="A84" s="14" t="e">
        <f ca="1"/>
        <v>#N/A</v>
      </c>
      <c r="B84" s="3" t="e">
        <f ca="1"/>
        <v>#N/A</v>
      </c>
      <c r="C84" s="6" t="e">
        <f ca="1"/>
        <v>#N/A</v>
      </c>
      <c r="D84" s="15" t="e">
        <f ca="1"/>
        <v>#N/A</v>
      </c>
      <c r="E84" s="15" t="e">
        <f ca="1"/>
        <v>#N/A</v>
      </c>
      <c r="F84" s="15" t="e">
        <f ca="1"/>
        <v>#N/A</v>
      </c>
      <c r="G84" s="5" t="e">
        <f ca="1"/>
        <v>#N/A</v>
      </c>
      <c r="H84" s="103" t="e">
        <f t="shared" ca="1" si="4"/>
        <v>#N/A</v>
      </c>
      <c r="I84" s="161" t="e">
        <f t="shared" ca="1" si="3"/>
        <v>#N/A</v>
      </c>
    </row>
    <row r="85" spans="1:9" x14ac:dyDescent="0.25">
      <c r="A85" s="14" t="e">
        <f ca="1"/>
        <v>#N/A</v>
      </c>
      <c r="B85" s="3" t="e">
        <f ca="1"/>
        <v>#N/A</v>
      </c>
      <c r="C85" s="6" t="e">
        <f ca="1"/>
        <v>#N/A</v>
      </c>
      <c r="D85" s="15" t="e">
        <f ca="1"/>
        <v>#N/A</v>
      </c>
      <c r="E85" s="15" t="e">
        <f ca="1"/>
        <v>#N/A</v>
      </c>
      <c r="F85" s="15" t="e">
        <f ca="1"/>
        <v>#N/A</v>
      </c>
      <c r="G85" s="5" t="e">
        <f ca="1"/>
        <v>#N/A</v>
      </c>
      <c r="H85" s="103" t="e">
        <f t="shared" ca="1" si="4"/>
        <v>#N/A</v>
      </c>
      <c r="I85" s="161" t="e">
        <f t="shared" ca="1" si="3"/>
        <v>#N/A</v>
      </c>
    </row>
    <row r="86" spans="1:9" x14ac:dyDescent="0.25">
      <c r="A86" s="14" t="e">
        <f ca="1"/>
        <v>#N/A</v>
      </c>
      <c r="B86" s="3" t="e">
        <f ca="1"/>
        <v>#N/A</v>
      </c>
      <c r="C86" s="6" t="e">
        <f ca="1"/>
        <v>#N/A</v>
      </c>
      <c r="D86" s="15" t="e">
        <f ca="1"/>
        <v>#N/A</v>
      </c>
      <c r="E86" s="15" t="e">
        <f ca="1"/>
        <v>#N/A</v>
      </c>
      <c r="F86" s="15" t="e">
        <f ca="1"/>
        <v>#N/A</v>
      </c>
      <c r="G86" s="5" t="e">
        <f ca="1"/>
        <v>#N/A</v>
      </c>
      <c r="H86" s="103" t="e">
        <f t="shared" ca="1" si="4"/>
        <v>#N/A</v>
      </c>
      <c r="I86" s="161" t="e">
        <f t="shared" ca="1" si="3"/>
        <v>#N/A</v>
      </c>
    </row>
    <row r="87" spans="1:9" x14ac:dyDescent="0.25">
      <c r="A87" s="14" t="e">
        <f ca="1"/>
        <v>#N/A</v>
      </c>
      <c r="B87" s="3" t="e">
        <f ca="1"/>
        <v>#N/A</v>
      </c>
      <c r="C87" s="6" t="e">
        <f ca="1"/>
        <v>#N/A</v>
      </c>
      <c r="D87" s="15" t="e">
        <f ca="1"/>
        <v>#N/A</v>
      </c>
      <c r="E87" s="15" t="e">
        <f ca="1"/>
        <v>#N/A</v>
      </c>
      <c r="F87" s="15" t="e">
        <f ca="1"/>
        <v>#N/A</v>
      </c>
      <c r="G87" s="5" t="e">
        <f ca="1"/>
        <v>#N/A</v>
      </c>
      <c r="H87" s="103" t="e">
        <f t="shared" ca="1" si="4"/>
        <v>#N/A</v>
      </c>
      <c r="I87" s="161" t="e">
        <f t="shared" ca="1" si="3"/>
        <v>#N/A</v>
      </c>
    </row>
    <row r="88" spans="1:9" x14ac:dyDescent="0.25">
      <c r="A88" s="14" t="e">
        <f ca="1"/>
        <v>#N/A</v>
      </c>
      <c r="B88" s="3" t="e">
        <f ca="1"/>
        <v>#N/A</v>
      </c>
      <c r="C88" s="6" t="e">
        <f ca="1"/>
        <v>#N/A</v>
      </c>
      <c r="D88" s="15" t="e">
        <f ca="1"/>
        <v>#N/A</v>
      </c>
      <c r="E88" s="15" t="e">
        <f ca="1"/>
        <v>#N/A</v>
      </c>
      <c r="F88" s="15" t="e">
        <f ca="1"/>
        <v>#N/A</v>
      </c>
      <c r="G88" s="5" t="e">
        <f ca="1"/>
        <v>#N/A</v>
      </c>
      <c r="H88" s="103" t="e">
        <f t="shared" ca="1" si="4"/>
        <v>#N/A</v>
      </c>
      <c r="I88" s="161" t="e">
        <f t="shared" ca="1" si="3"/>
        <v>#N/A</v>
      </c>
    </row>
    <row r="89" spans="1:9" x14ac:dyDescent="0.25">
      <c r="A89" s="14" t="e">
        <f ca="1"/>
        <v>#N/A</v>
      </c>
      <c r="B89" s="3" t="e">
        <f ca="1"/>
        <v>#N/A</v>
      </c>
      <c r="C89" s="6" t="e">
        <f ca="1"/>
        <v>#N/A</v>
      </c>
      <c r="D89" s="15" t="e">
        <f ca="1"/>
        <v>#N/A</v>
      </c>
      <c r="E89" s="15" t="e">
        <f ca="1"/>
        <v>#N/A</v>
      </c>
      <c r="F89" s="15" t="e">
        <f ca="1"/>
        <v>#N/A</v>
      </c>
      <c r="G89" s="5" t="e">
        <f ca="1"/>
        <v>#N/A</v>
      </c>
      <c r="H89" s="103" t="e">
        <f t="shared" ca="1" si="4"/>
        <v>#N/A</v>
      </c>
      <c r="I89" s="161" t="e">
        <f t="shared" ca="1" si="3"/>
        <v>#N/A</v>
      </c>
    </row>
    <row r="90" spans="1:9" x14ac:dyDescent="0.25">
      <c r="A90" s="14" t="e">
        <f ca="1"/>
        <v>#N/A</v>
      </c>
      <c r="B90" s="3" t="e">
        <f ca="1"/>
        <v>#N/A</v>
      </c>
      <c r="C90" s="6" t="e">
        <f ca="1"/>
        <v>#N/A</v>
      </c>
      <c r="D90" s="15" t="e">
        <f ca="1"/>
        <v>#N/A</v>
      </c>
      <c r="E90" s="15" t="e">
        <f ca="1"/>
        <v>#N/A</v>
      </c>
      <c r="F90" s="15" t="e">
        <f ca="1"/>
        <v>#N/A</v>
      </c>
      <c r="G90" s="5" t="e">
        <f ca="1"/>
        <v>#N/A</v>
      </c>
      <c r="H90" s="103" t="e">
        <f t="shared" ca="1" si="4"/>
        <v>#N/A</v>
      </c>
      <c r="I90" s="161" t="e">
        <f t="shared" ca="1" si="3"/>
        <v>#N/A</v>
      </c>
    </row>
    <row r="91" spans="1:9" x14ac:dyDescent="0.25">
      <c r="A91" s="14" t="e">
        <f ca="1"/>
        <v>#N/A</v>
      </c>
      <c r="B91" s="3" t="e">
        <f ca="1"/>
        <v>#N/A</v>
      </c>
      <c r="C91" s="6" t="e">
        <f ca="1"/>
        <v>#N/A</v>
      </c>
      <c r="D91" s="15" t="e">
        <f ca="1"/>
        <v>#N/A</v>
      </c>
      <c r="E91" s="15" t="e">
        <f ca="1"/>
        <v>#N/A</v>
      </c>
      <c r="F91" s="15" t="e">
        <f ca="1"/>
        <v>#N/A</v>
      </c>
      <c r="G91" s="5" t="e">
        <f ca="1"/>
        <v>#N/A</v>
      </c>
      <c r="H91" s="103" t="e">
        <f t="shared" ca="1" si="4"/>
        <v>#N/A</v>
      </c>
      <c r="I91" s="161" t="e">
        <f t="shared" ca="1" si="3"/>
        <v>#N/A</v>
      </c>
    </row>
    <row r="92" spans="1:9" x14ac:dyDescent="0.25">
      <c r="A92" s="14" t="e">
        <f ca="1"/>
        <v>#N/A</v>
      </c>
      <c r="B92" s="3" t="e">
        <f ca="1"/>
        <v>#N/A</v>
      </c>
      <c r="C92" s="6" t="e">
        <f ca="1"/>
        <v>#N/A</v>
      </c>
      <c r="D92" s="15" t="e">
        <f ca="1"/>
        <v>#N/A</v>
      </c>
      <c r="E92" s="15" t="e">
        <f ca="1"/>
        <v>#N/A</v>
      </c>
      <c r="F92" s="15" t="e">
        <f ca="1"/>
        <v>#N/A</v>
      </c>
      <c r="G92" s="5" t="e">
        <f ca="1"/>
        <v>#N/A</v>
      </c>
      <c r="H92" s="103" t="e">
        <f t="shared" ca="1" si="4"/>
        <v>#N/A</v>
      </c>
      <c r="I92" s="161" t="e">
        <f t="shared" ca="1" si="3"/>
        <v>#N/A</v>
      </c>
    </row>
    <row r="93" spans="1:9" x14ac:dyDescent="0.25">
      <c r="A93" s="14" t="e">
        <f ca="1"/>
        <v>#N/A</v>
      </c>
      <c r="B93" s="3" t="e">
        <f ca="1"/>
        <v>#N/A</v>
      </c>
      <c r="C93" s="6" t="e">
        <f ca="1"/>
        <v>#N/A</v>
      </c>
      <c r="D93" s="15" t="e">
        <f ca="1"/>
        <v>#N/A</v>
      </c>
      <c r="E93" s="15" t="e">
        <f ca="1"/>
        <v>#N/A</v>
      </c>
      <c r="F93" s="15" t="e">
        <f ca="1"/>
        <v>#N/A</v>
      </c>
      <c r="G93" s="5" t="e">
        <f ca="1"/>
        <v>#N/A</v>
      </c>
      <c r="H93" s="103" t="e">
        <f t="shared" ca="1" si="4"/>
        <v>#N/A</v>
      </c>
      <c r="I93" s="161" t="e">
        <f t="shared" ca="1" si="3"/>
        <v>#N/A</v>
      </c>
    </row>
    <row r="94" spans="1:9" x14ac:dyDescent="0.25">
      <c r="A94" s="14" t="e">
        <f ca="1"/>
        <v>#N/A</v>
      </c>
      <c r="B94" s="3" t="e">
        <f ca="1"/>
        <v>#N/A</v>
      </c>
      <c r="C94" s="6" t="e">
        <f ca="1"/>
        <v>#N/A</v>
      </c>
      <c r="D94" s="15" t="e">
        <f ca="1"/>
        <v>#N/A</v>
      </c>
      <c r="E94" s="15" t="e">
        <f ca="1"/>
        <v>#N/A</v>
      </c>
      <c r="F94" s="15" t="e">
        <f ca="1"/>
        <v>#N/A</v>
      </c>
      <c r="G94" s="5" t="e">
        <f ca="1"/>
        <v>#N/A</v>
      </c>
      <c r="H94" s="103" t="e">
        <f t="shared" ca="1" si="4"/>
        <v>#N/A</v>
      </c>
      <c r="I94" s="161" t="e">
        <f t="shared" ca="1" si="3"/>
        <v>#N/A</v>
      </c>
    </row>
    <row r="95" spans="1:9" x14ac:dyDescent="0.25">
      <c r="A95" s="14" t="e">
        <f ca="1"/>
        <v>#N/A</v>
      </c>
      <c r="B95" s="3" t="e">
        <f ca="1"/>
        <v>#N/A</v>
      </c>
      <c r="C95" s="6" t="e">
        <f ca="1"/>
        <v>#N/A</v>
      </c>
      <c r="D95" s="15" t="e">
        <f ca="1"/>
        <v>#N/A</v>
      </c>
      <c r="E95" s="15" t="e">
        <f ca="1"/>
        <v>#N/A</v>
      </c>
      <c r="F95" s="15" t="e">
        <f ca="1"/>
        <v>#N/A</v>
      </c>
      <c r="G95" s="5" t="e">
        <f ca="1"/>
        <v>#N/A</v>
      </c>
      <c r="H95" s="103" t="e">
        <f t="shared" ca="1" si="4"/>
        <v>#N/A</v>
      </c>
      <c r="I95" s="161" t="e">
        <f t="shared" ca="1" si="3"/>
        <v>#N/A</v>
      </c>
    </row>
    <row r="96" spans="1:9" x14ac:dyDescent="0.25">
      <c r="A96" s="14" t="e">
        <f ca="1"/>
        <v>#N/A</v>
      </c>
      <c r="B96" s="3" t="e">
        <f ca="1"/>
        <v>#N/A</v>
      </c>
      <c r="C96" s="6" t="e">
        <f ca="1"/>
        <v>#N/A</v>
      </c>
      <c r="D96" s="15" t="e">
        <f ca="1"/>
        <v>#N/A</v>
      </c>
      <c r="E96" s="15" t="e">
        <f ca="1"/>
        <v>#N/A</v>
      </c>
      <c r="F96" s="15" t="e">
        <f ca="1"/>
        <v>#N/A</v>
      </c>
      <c r="G96" s="5" t="e">
        <f ca="1"/>
        <v>#N/A</v>
      </c>
      <c r="H96" s="103" t="e">
        <f t="shared" ca="1" si="4"/>
        <v>#N/A</v>
      </c>
      <c r="I96" s="161" t="e">
        <f t="shared" ca="1" si="3"/>
        <v>#N/A</v>
      </c>
    </row>
    <row r="97" spans="1:9" x14ac:dyDescent="0.25">
      <c r="A97" s="14" t="e">
        <f ca="1"/>
        <v>#N/A</v>
      </c>
      <c r="B97" s="3" t="e">
        <f ca="1"/>
        <v>#N/A</v>
      </c>
      <c r="C97" s="6" t="e">
        <f ca="1"/>
        <v>#N/A</v>
      </c>
      <c r="D97" s="15" t="e">
        <f ca="1"/>
        <v>#N/A</v>
      </c>
      <c r="E97" s="15" t="e">
        <f ca="1"/>
        <v>#N/A</v>
      </c>
      <c r="F97" s="15" t="e">
        <f ca="1"/>
        <v>#N/A</v>
      </c>
      <c r="G97" s="5" t="e">
        <f ca="1"/>
        <v>#N/A</v>
      </c>
      <c r="H97" s="103" t="e">
        <f t="shared" ca="1" si="4"/>
        <v>#N/A</v>
      </c>
      <c r="I97" s="161" t="e">
        <f t="shared" ca="1" si="3"/>
        <v>#N/A</v>
      </c>
    </row>
    <row r="98" spans="1:9" x14ac:dyDescent="0.25">
      <c r="A98" s="14" t="e">
        <f ca="1"/>
        <v>#N/A</v>
      </c>
      <c r="B98" s="3" t="e">
        <f ca="1"/>
        <v>#N/A</v>
      </c>
      <c r="C98" s="6" t="e">
        <f ca="1"/>
        <v>#N/A</v>
      </c>
      <c r="D98" s="15" t="e">
        <f ca="1"/>
        <v>#N/A</v>
      </c>
      <c r="E98" s="15" t="e">
        <f ca="1"/>
        <v>#N/A</v>
      </c>
      <c r="F98" s="15" t="e">
        <f ca="1"/>
        <v>#N/A</v>
      </c>
      <c r="G98" s="5" t="e">
        <f ca="1"/>
        <v>#N/A</v>
      </c>
      <c r="H98" s="103" t="e">
        <f t="shared" ca="1" si="4"/>
        <v>#N/A</v>
      </c>
      <c r="I98" s="161" t="e">
        <f t="shared" ref="I98:I129" ca="1" si="5">H98*BTCPriceEUR</f>
        <v>#N/A</v>
      </c>
    </row>
    <row r="99" spans="1:9" x14ac:dyDescent="0.25">
      <c r="A99" s="14" t="e">
        <f ca="1"/>
        <v>#N/A</v>
      </c>
      <c r="B99" s="3" t="e">
        <f ca="1"/>
        <v>#N/A</v>
      </c>
      <c r="C99" s="6" t="e">
        <f ca="1"/>
        <v>#N/A</v>
      </c>
      <c r="D99" s="15" t="e">
        <f ca="1"/>
        <v>#N/A</v>
      </c>
      <c r="E99" s="15" t="e">
        <f ca="1"/>
        <v>#N/A</v>
      </c>
      <c r="F99" s="15" t="e">
        <f ca="1"/>
        <v>#N/A</v>
      </c>
      <c r="G99" s="5" t="e">
        <f ca="1"/>
        <v>#N/A</v>
      </c>
      <c r="H99" s="103" t="e">
        <f t="shared" ca="1" si="4"/>
        <v>#N/A</v>
      </c>
      <c r="I99" s="161" t="e">
        <f t="shared" ca="1" si="5"/>
        <v>#N/A</v>
      </c>
    </row>
    <row r="100" spans="1:9" x14ac:dyDescent="0.25">
      <c r="A100" s="14" t="e">
        <f ca="1"/>
        <v>#N/A</v>
      </c>
      <c r="B100" s="3" t="e">
        <f ca="1"/>
        <v>#N/A</v>
      </c>
      <c r="C100" s="6" t="e">
        <f ca="1"/>
        <v>#N/A</v>
      </c>
      <c r="D100" s="15" t="e">
        <f ca="1"/>
        <v>#N/A</v>
      </c>
      <c r="E100" s="15" t="e">
        <f ca="1"/>
        <v>#N/A</v>
      </c>
      <c r="F100" s="15" t="e">
        <f ca="1"/>
        <v>#N/A</v>
      </c>
      <c r="G100" s="5" t="e">
        <f ca="1"/>
        <v>#N/A</v>
      </c>
      <c r="H100" s="103" t="e">
        <f t="shared" ca="1" si="4"/>
        <v>#N/A</v>
      </c>
      <c r="I100" s="161" t="e">
        <f t="shared" ca="1" si="5"/>
        <v>#N/A</v>
      </c>
    </row>
    <row r="101" spans="1:9" x14ac:dyDescent="0.25">
      <c r="A101" s="14" t="e">
        <f ca="1"/>
        <v>#N/A</v>
      </c>
      <c r="B101" s="3" t="e">
        <f ca="1"/>
        <v>#N/A</v>
      </c>
      <c r="C101" s="6" t="e">
        <f ca="1"/>
        <v>#N/A</v>
      </c>
      <c r="D101" s="15" t="e">
        <f ca="1"/>
        <v>#N/A</v>
      </c>
      <c r="E101" s="15" t="e">
        <f ca="1"/>
        <v>#N/A</v>
      </c>
      <c r="F101" s="15" t="e">
        <f ca="1"/>
        <v>#N/A</v>
      </c>
      <c r="G101" s="5" t="e">
        <f ca="1"/>
        <v>#N/A</v>
      </c>
      <c r="H101" s="103" t="e">
        <f t="shared" ca="1" si="4"/>
        <v>#N/A</v>
      </c>
      <c r="I101" s="161" t="e">
        <f t="shared" ca="1" si="5"/>
        <v>#N/A</v>
      </c>
    </row>
    <row r="102" spans="1:9" x14ac:dyDescent="0.25">
      <c r="A102" s="14" t="e">
        <f ca="1"/>
        <v>#N/A</v>
      </c>
      <c r="B102" s="3" t="e">
        <f ca="1"/>
        <v>#N/A</v>
      </c>
      <c r="C102" s="6" t="e">
        <f ca="1"/>
        <v>#N/A</v>
      </c>
      <c r="D102" s="15" t="e">
        <f ca="1"/>
        <v>#N/A</v>
      </c>
      <c r="E102" s="15" t="e">
        <f ca="1"/>
        <v>#N/A</v>
      </c>
      <c r="F102" s="15" t="e">
        <f ca="1"/>
        <v>#N/A</v>
      </c>
      <c r="G102" s="5" t="e">
        <f ca="1"/>
        <v>#N/A</v>
      </c>
      <c r="H102" s="103" t="e">
        <f t="shared" ca="1" si="4"/>
        <v>#N/A</v>
      </c>
      <c r="I102" s="161" t="e">
        <f t="shared" ca="1" si="5"/>
        <v>#N/A</v>
      </c>
    </row>
    <row r="103" spans="1:9" x14ac:dyDescent="0.25">
      <c r="A103" s="14" t="e">
        <f ca="1"/>
        <v>#N/A</v>
      </c>
      <c r="B103" s="3" t="e">
        <f ca="1"/>
        <v>#N/A</v>
      </c>
      <c r="C103" s="6" t="e">
        <f ca="1"/>
        <v>#N/A</v>
      </c>
      <c r="D103" s="15" t="e">
        <f ca="1"/>
        <v>#N/A</v>
      </c>
      <c r="E103" s="15" t="e">
        <f ca="1"/>
        <v>#N/A</v>
      </c>
      <c r="F103" s="15" t="e">
        <f ca="1"/>
        <v>#N/A</v>
      </c>
      <c r="G103" s="5" t="e">
        <f ca="1"/>
        <v>#N/A</v>
      </c>
      <c r="H103" s="103" t="e">
        <f t="shared" ca="1" si="4"/>
        <v>#N/A</v>
      </c>
      <c r="I103" s="161" t="e">
        <f t="shared" ca="1" si="5"/>
        <v>#N/A</v>
      </c>
    </row>
    <row r="104" spans="1:9" x14ac:dyDescent="0.25">
      <c r="A104" s="14" t="e">
        <f ca="1"/>
        <v>#N/A</v>
      </c>
      <c r="B104" s="3" t="e">
        <f ca="1"/>
        <v>#N/A</v>
      </c>
      <c r="C104" s="6" t="e">
        <f ca="1"/>
        <v>#N/A</v>
      </c>
      <c r="D104" s="15" t="e">
        <f ca="1"/>
        <v>#N/A</v>
      </c>
      <c r="E104" s="15" t="e">
        <f ca="1"/>
        <v>#N/A</v>
      </c>
      <c r="F104" s="15" t="e">
        <f ca="1"/>
        <v>#N/A</v>
      </c>
      <c r="G104" s="5" t="e">
        <f ca="1"/>
        <v>#N/A</v>
      </c>
      <c r="H104" s="103" t="e">
        <f t="shared" ca="1" si="4"/>
        <v>#N/A</v>
      </c>
      <c r="I104" s="161" t="e">
        <f t="shared" ca="1" si="5"/>
        <v>#N/A</v>
      </c>
    </row>
    <row r="105" spans="1:9" x14ac:dyDescent="0.25">
      <c r="A105" s="14" t="e">
        <f ca="1"/>
        <v>#N/A</v>
      </c>
      <c r="B105" s="3" t="e">
        <f ca="1"/>
        <v>#N/A</v>
      </c>
      <c r="C105" s="6" t="e">
        <f ca="1"/>
        <v>#N/A</v>
      </c>
      <c r="D105" s="15" t="e">
        <f ca="1"/>
        <v>#N/A</v>
      </c>
      <c r="E105" s="15" t="e">
        <f ca="1"/>
        <v>#N/A</v>
      </c>
      <c r="F105" s="15" t="e">
        <f ca="1"/>
        <v>#N/A</v>
      </c>
      <c r="G105" s="5" t="e">
        <f ca="1"/>
        <v>#N/A</v>
      </c>
      <c r="H105" s="103" t="e">
        <f t="shared" ca="1" si="4"/>
        <v>#N/A</v>
      </c>
      <c r="I105" s="161" t="e">
        <f t="shared" ca="1" si="5"/>
        <v>#N/A</v>
      </c>
    </row>
    <row r="106" spans="1:9" x14ac:dyDescent="0.25">
      <c r="A106" s="14" t="e">
        <f ca="1"/>
        <v>#N/A</v>
      </c>
      <c r="B106" s="3" t="e">
        <f ca="1"/>
        <v>#N/A</v>
      </c>
      <c r="C106" s="6" t="e">
        <f ca="1"/>
        <v>#N/A</v>
      </c>
      <c r="D106" s="15" t="e">
        <f ca="1"/>
        <v>#N/A</v>
      </c>
      <c r="E106" s="15" t="e">
        <f ca="1"/>
        <v>#N/A</v>
      </c>
      <c r="F106" s="15" t="e">
        <f ca="1"/>
        <v>#N/A</v>
      </c>
      <c r="G106" s="5" t="e">
        <f ca="1"/>
        <v>#N/A</v>
      </c>
      <c r="H106" s="103" t="e">
        <f t="shared" ca="1" si="4"/>
        <v>#N/A</v>
      </c>
      <c r="I106" s="161" t="e">
        <f t="shared" ca="1" si="5"/>
        <v>#N/A</v>
      </c>
    </row>
    <row r="107" spans="1:9" x14ac:dyDescent="0.25">
      <c r="A107" s="14" t="e">
        <f ca="1"/>
        <v>#N/A</v>
      </c>
      <c r="B107" s="3" t="e">
        <f ca="1"/>
        <v>#N/A</v>
      </c>
      <c r="C107" s="6" t="e">
        <f ca="1"/>
        <v>#N/A</v>
      </c>
      <c r="D107" s="15" t="e">
        <f ca="1"/>
        <v>#N/A</v>
      </c>
      <c r="E107" s="15" t="e">
        <f ca="1"/>
        <v>#N/A</v>
      </c>
      <c r="F107" s="15" t="e">
        <f ca="1"/>
        <v>#N/A</v>
      </c>
      <c r="G107" s="5" t="e">
        <f ca="1"/>
        <v>#N/A</v>
      </c>
      <c r="H107" s="103" t="e">
        <f t="shared" ca="1" si="4"/>
        <v>#N/A</v>
      </c>
      <c r="I107" s="161" t="e">
        <f t="shared" ca="1" si="5"/>
        <v>#N/A</v>
      </c>
    </row>
    <row r="108" spans="1:9" x14ac:dyDescent="0.25">
      <c r="A108" s="14" t="e">
        <f ca="1"/>
        <v>#N/A</v>
      </c>
      <c r="B108" s="3" t="e">
        <f ca="1"/>
        <v>#N/A</v>
      </c>
      <c r="C108" s="6" t="e">
        <f ca="1"/>
        <v>#N/A</v>
      </c>
      <c r="D108" s="15" t="e">
        <f ca="1"/>
        <v>#N/A</v>
      </c>
      <c r="E108" s="15" t="e">
        <f ca="1"/>
        <v>#N/A</v>
      </c>
      <c r="F108" s="15" t="e">
        <f ca="1"/>
        <v>#N/A</v>
      </c>
      <c r="G108" s="5" t="e">
        <f ca="1"/>
        <v>#N/A</v>
      </c>
      <c r="H108" s="103" t="e">
        <f t="shared" ca="1" si="4"/>
        <v>#N/A</v>
      </c>
      <c r="I108" s="161" t="e">
        <f t="shared" ca="1" si="5"/>
        <v>#N/A</v>
      </c>
    </row>
    <row r="109" spans="1:9" x14ac:dyDescent="0.25">
      <c r="A109" s="14" t="e">
        <f ca="1"/>
        <v>#N/A</v>
      </c>
      <c r="B109" s="3" t="e">
        <f ca="1"/>
        <v>#N/A</v>
      </c>
      <c r="C109" s="6" t="e">
        <f ca="1"/>
        <v>#N/A</v>
      </c>
      <c r="D109" s="15" t="e">
        <f ca="1"/>
        <v>#N/A</v>
      </c>
      <c r="E109" s="15" t="e">
        <f ca="1"/>
        <v>#N/A</v>
      </c>
      <c r="F109" s="15" t="e">
        <f ca="1"/>
        <v>#N/A</v>
      </c>
      <c r="G109" s="5" t="e">
        <f ca="1"/>
        <v>#N/A</v>
      </c>
      <c r="H109" s="103" t="e">
        <f t="shared" ca="1" si="4"/>
        <v>#N/A</v>
      </c>
      <c r="I109" s="161" t="e">
        <f t="shared" ca="1" si="5"/>
        <v>#N/A</v>
      </c>
    </row>
    <row r="110" spans="1:9" x14ac:dyDescent="0.25">
      <c r="A110" s="14" t="e">
        <f ca="1"/>
        <v>#N/A</v>
      </c>
      <c r="B110" s="3" t="e">
        <f ca="1"/>
        <v>#N/A</v>
      </c>
      <c r="C110" s="6" t="e">
        <f ca="1"/>
        <v>#N/A</v>
      </c>
      <c r="D110" s="15" t="e">
        <f ca="1"/>
        <v>#N/A</v>
      </c>
      <c r="E110" s="15" t="e">
        <f ca="1"/>
        <v>#N/A</v>
      </c>
      <c r="F110" s="15" t="e">
        <f ca="1"/>
        <v>#N/A</v>
      </c>
      <c r="G110" s="5" t="e">
        <f ca="1"/>
        <v>#N/A</v>
      </c>
      <c r="H110" s="103" t="e">
        <f t="shared" ca="1" si="4"/>
        <v>#N/A</v>
      </c>
      <c r="I110" s="161" t="e">
        <f t="shared" ca="1" si="5"/>
        <v>#N/A</v>
      </c>
    </row>
    <row r="111" spans="1:9" x14ac:dyDescent="0.25">
      <c r="A111" s="14" t="e">
        <f ca="1"/>
        <v>#N/A</v>
      </c>
      <c r="B111" s="3" t="e">
        <f ca="1"/>
        <v>#N/A</v>
      </c>
      <c r="C111" s="6" t="e">
        <f ca="1"/>
        <v>#N/A</v>
      </c>
      <c r="D111" s="15" t="e">
        <f ca="1"/>
        <v>#N/A</v>
      </c>
      <c r="E111" s="15" t="e">
        <f ca="1"/>
        <v>#N/A</v>
      </c>
      <c r="F111" s="15" t="e">
        <f ca="1"/>
        <v>#N/A</v>
      </c>
      <c r="G111" s="5" t="e">
        <f ca="1"/>
        <v>#N/A</v>
      </c>
      <c r="H111" s="103" t="e">
        <f t="shared" ca="1" si="4"/>
        <v>#N/A</v>
      </c>
      <c r="I111" s="161" t="e">
        <f t="shared" ca="1" si="5"/>
        <v>#N/A</v>
      </c>
    </row>
    <row r="112" spans="1:9" x14ac:dyDescent="0.25">
      <c r="A112" s="14" t="e">
        <f ca="1"/>
        <v>#N/A</v>
      </c>
      <c r="B112" s="3" t="e">
        <f ca="1"/>
        <v>#N/A</v>
      </c>
      <c r="C112" s="6" t="e">
        <f ca="1"/>
        <v>#N/A</v>
      </c>
      <c r="D112" s="15" t="e">
        <f ca="1"/>
        <v>#N/A</v>
      </c>
      <c r="E112" s="15" t="e">
        <f ca="1"/>
        <v>#N/A</v>
      </c>
      <c r="F112" s="15" t="e">
        <f ca="1"/>
        <v>#N/A</v>
      </c>
      <c r="G112" s="5" t="e">
        <f ca="1"/>
        <v>#N/A</v>
      </c>
      <c r="H112" s="103" t="e">
        <f t="shared" ca="1" si="4"/>
        <v>#N/A</v>
      </c>
      <c r="I112" s="161" t="e">
        <f t="shared" ca="1" si="5"/>
        <v>#N/A</v>
      </c>
    </row>
    <row r="113" spans="1:9" x14ac:dyDescent="0.25">
      <c r="A113" s="14" t="e">
        <f ca="1"/>
        <v>#N/A</v>
      </c>
      <c r="B113" s="3" t="e">
        <f ca="1"/>
        <v>#N/A</v>
      </c>
      <c r="C113" s="6" t="e">
        <f ca="1"/>
        <v>#N/A</v>
      </c>
      <c r="D113" s="15" t="e">
        <f ca="1"/>
        <v>#N/A</v>
      </c>
      <c r="E113" s="15" t="e">
        <f ca="1"/>
        <v>#N/A</v>
      </c>
      <c r="F113" s="15" t="e">
        <f ca="1"/>
        <v>#N/A</v>
      </c>
      <c r="G113" s="5" t="e">
        <f ca="1"/>
        <v>#N/A</v>
      </c>
      <c r="H113" s="103" t="e">
        <f t="shared" ca="1" si="4"/>
        <v>#N/A</v>
      </c>
      <c r="I113" s="161" t="e">
        <f t="shared" ca="1" si="5"/>
        <v>#N/A</v>
      </c>
    </row>
    <row r="114" spans="1:9" x14ac:dyDescent="0.25">
      <c r="A114" s="14" t="e">
        <f ca="1"/>
        <v>#N/A</v>
      </c>
      <c r="B114" s="3" t="e">
        <f ca="1"/>
        <v>#N/A</v>
      </c>
      <c r="C114" s="6" t="e">
        <f ca="1"/>
        <v>#N/A</v>
      </c>
      <c r="D114" s="15" t="e">
        <f ca="1"/>
        <v>#N/A</v>
      </c>
      <c r="E114" s="15" t="e">
        <f ca="1"/>
        <v>#N/A</v>
      </c>
      <c r="F114" s="15" t="e">
        <f ca="1"/>
        <v>#N/A</v>
      </c>
      <c r="G114" s="5" t="e">
        <f ca="1"/>
        <v>#N/A</v>
      </c>
      <c r="H114" s="103" t="e">
        <f t="shared" ca="1" si="4"/>
        <v>#N/A</v>
      </c>
      <c r="I114" s="161" t="e">
        <f t="shared" ca="1" si="5"/>
        <v>#N/A</v>
      </c>
    </row>
    <row r="115" spans="1:9" x14ac:dyDescent="0.25">
      <c r="A115" s="14" t="e">
        <f ca="1"/>
        <v>#N/A</v>
      </c>
      <c r="B115" s="3" t="e">
        <f ca="1"/>
        <v>#N/A</v>
      </c>
      <c r="C115" s="6" t="e">
        <f ca="1"/>
        <v>#N/A</v>
      </c>
      <c r="D115" s="15" t="e">
        <f ca="1"/>
        <v>#N/A</v>
      </c>
      <c r="E115" s="15" t="e">
        <f ca="1"/>
        <v>#N/A</v>
      </c>
      <c r="F115" s="15" t="e">
        <f ca="1"/>
        <v>#N/A</v>
      </c>
      <c r="G115" s="5" t="e">
        <f ca="1"/>
        <v>#N/A</v>
      </c>
      <c r="H115" s="103" t="e">
        <f t="shared" ca="1" si="4"/>
        <v>#N/A</v>
      </c>
      <c r="I115" s="161" t="e">
        <f t="shared" ca="1" si="5"/>
        <v>#N/A</v>
      </c>
    </row>
    <row r="116" spans="1:9" x14ac:dyDescent="0.25">
      <c r="A116" s="14" t="e">
        <f ca="1"/>
        <v>#N/A</v>
      </c>
      <c r="B116" s="3" t="e">
        <f ca="1"/>
        <v>#N/A</v>
      </c>
      <c r="C116" s="6" t="e">
        <f ca="1"/>
        <v>#N/A</v>
      </c>
      <c r="D116" s="15" t="e">
        <f ca="1"/>
        <v>#N/A</v>
      </c>
      <c r="E116" s="15" t="e">
        <f ca="1"/>
        <v>#N/A</v>
      </c>
      <c r="F116" s="15" t="e">
        <f ca="1"/>
        <v>#N/A</v>
      </c>
      <c r="G116" s="5" t="e">
        <f ca="1"/>
        <v>#N/A</v>
      </c>
      <c r="H116" s="103" t="e">
        <f t="shared" ca="1" si="4"/>
        <v>#N/A</v>
      </c>
      <c r="I116" s="161" t="e">
        <f t="shared" ca="1" si="5"/>
        <v>#N/A</v>
      </c>
    </row>
    <row r="117" spans="1:9" x14ac:dyDescent="0.25">
      <c r="A117" s="14" t="e">
        <f ca="1"/>
        <v>#N/A</v>
      </c>
      <c r="B117" s="3" t="e">
        <f ca="1"/>
        <v>#N/A</v>
      </c>
      <c r="C117" s="6" t="e">
        <f ca="1"/>
        <v>#N/A</v>
      </c>
      <c r="D117" s="15" t="e">
        <f ca="1"/>
        <v>#N/A</v>
      </c>
      <c r="E117" s="15" t="e">
        <f ca="1"/>
        <v>#N/A</v>
      </c>
      <c r="F117" s="15" t="e">
        <f ca="1"/>
        <v>#N/A</v>
      </c>
      <c r="G117" s="5" t="e">
        <f ca="1"/>
        <v>#N/A</v>
      </c>
      <c r="H117" s="103" t="e">
        <f t="shared" ca="1" si="4"/>
        <v>#N/A</v>
      </c>
      <c r="I117" s="161" t="e">
        <f t="shared" ca="1" si="5"/>
        <v>#N/A</v>
      </c>
    </row>
    <row r="118" spans="1:9" x14ac:dyDescent="0.25">
      <c r="A118" s="14" t="e">
        <f ca="1"/>
        <v>#N/A</v>
      </c>
      <c r="B118" s="3" t="e">
        <f ca="1"/>
        <v>#N/A</v>
      </c>
      <c r="C118" s="6" t="e">
        <f ca="1"/>
        <v>#N/A</v>
      </c>
      <c r="D118" s="15" t="e">
        <f ca="1"/>
        <v>#N/A</v>
      </c>
      <c r="E118" s="15" t="e">
        <f ca="1"/>
        <v>#N/A</v>
      </c>
      <c r="F118" s="15" t="e">
        <f ca="1"/>
        <v>#N/A</v>
      </c>
      <c r="G118" s="5" t="e">
        <f ca="1"/>
        <v>#N/A</v>
      </c>
      <c r="H118" s="103" t="e">
        <f t="shared" ca="1" si="4"/>
        <v>#N/A</v>
      </c>
      <c r="I118" s="161" t="e">
        <f t="shared" ca="1" si="5"/>
        <v>#N/A</v>
      </c>
    </row>
    <row r="119" spans="1:9" x14ac:dyDescent="0.25">
      <c r="A119" s="14" t="e">
        <f ca="1"/>
        <v>#N/A</v>
      </c>
      <c r="B119" s="3" t="e">
        <f ca="1"/>
        <v>#N/A</v>
      </c>
      <c r="C119" s="6" t="e">
        <f ca="1"/>
        <v>#N/A</v>
      </c>
      <c r="D119" s="15" t="e">
        <f ca="1"/>
        <v>#N/A</v>
      </c>
      <c r="E119" s="15" t="e">
        <f ca="1"/>
        <v>#N/A</v>
      </c>
      <c r="F119" s="15" t="e">
        <f ca="1"/>
        <v>#N/A</v>
      </c>
      <c r="G119" s="5" t="e">
        <f ca="1"/>
        <v>#N/A</v>
      </c>
      <c r="H119" s="103" t="e">
        <f t="shared" ca="1" si="4"/>
        <v>#N/A</v>
      </c>
      <c r="I119" s="161" t="e">
        <f t="shared" ca="1" si="5"/>
        <v>#N/A</v>
      </c>
    </row>
    <row r="120" spans="1:9" x14ac:dyDescent="0.25">
      <c r="A120" s="14" t="e">
        <f ca="1"/>
        <v>#N/A</v>
      </c>
      <c r="B120" s="3" t="e">
        <f ca="1"/>
        <v>#N/A</v>
      </c>
      <c r="C120" s="6" t="e">
        <f ca="1"/>
        <v>#N/A</v>
      </c>
      <c r="D120" s="15" t="e">
        <f ca="1"/>
        <v>#N/A</v>
      </c>
      <c r="E120" s="15" t="e">
        <f ca="1"/>
        <v>#N/A</v>
      </c>
      <c r="F120" s="15" t="e">
        <f ca="1"/>
        <v>#N/A</v>
      </c>
      <c r="G120" s="5" t="e">
        <f ca="1"/>
        <v>#N/A</v>
      </c>
      <c r="H120" s="103" t="e">
        <f t="shared" ca="1" si="4"/>
        <v>#N/A</v>
      </c>
      <c r="I120" s="161" t="e">
        <f t="shared" ca="1" si="5"/>
        <v>#N/A</v>
      </c>
    </row>
    <row r="121" spans="1:9" x14ac:dyDescent="0.25">
      <c r="A121" s="14" t="e">
        <f ca="1"/>
        <v>#N/A</v>
      </c>
      <c r="B121" s="3" t="e">
        <f ca="1"/>
        <v>#N/A</v>
      </c>
      <c r="C121" s="6" t="e">
        <f ca="1"/>
        <v>#N/A</v>
      </c>
      <c r="D121" s="15" t="e">
        <f ca="1"/>
        <v>#N/A</v>
      </c>
      <c r="E121" s="15" t="e">
        <f ca="1"/>
        <v>#N/A</v>
      </c>
      <c r="F121" s="15" t="e">
        <f ca="1"/>
        <v>#N/A</v>
      </c>
      <c r="G121" s="5" t="e">
        <f ca="1"/>
        <v>#N/A</v>
      </c>
      <c r="H121" s="103" t="e">
        <f t="shared" ca="1" si="4"/>
        <v>#N/A</v>
      </c>
      <c r="I121" s="161" t="e">
        <f t="shared" ca="1" si="5"/>
        <v>#N/A</v>
      </c>
    </row>
    <row r="122" spans="1:9" x14ac:dyDescent="0.25">
      <c r="A122" s="14" t="e">
        <f ca="1"/>
        <v>#N/A</v>
      </c>
      <c r="B122" s="3" t="e">
        <f ca="1"/>
        <v>#N/A</v>
      </c>
      <c r="C122" s="6" t="e">
        <f ca="1"/>
        <v>#N/A</v>
      </c>
      <c r="D122" s="15" t="e">
        <f ca="1"/>
        <v>#N/A</v>
      </c>
      <c r="E122" s="15" t="e">
        <f ca="1"/>
        <v>#N/A</v>
      </c>
      <c r="F122" s="15" t="e">
        <f ca="1"/>
        <v>#N/A</v>
      </c>
      <c r="G122" s="5" t="e">
        <f ca="1"/>
        <v>#N/A</v>
      </c>
      <c r="H122" s="103" t="e">
        <f t="shared" ca="1" si="4"/>
        <v>#N/A</v>
      </c>
      <c r="I122" s="161" t="e">
        <f t="shared" ca="1" si="5"/>
        <v>#N/A</v>
      </c>
    </row>
    <row r="123" spans="1:9" x14ac:dyDescent="0.25">
      <c r="A123" s="14" t="e">
        <f ca="1"/>
        <v>#N/A</v>
      </c>
      <c r="B123" s="3" t="e">
        <f ca="1"/>
        <v>#N/A</v>
      </c>
      <c r="C123" s="6" t="e">
        <f ca="1"/>
        <v>#N/A</v>
      </c>
      <c r="D123" s="15" t="e">
        <f ca="1"/>
        <v>#N/A</v>
      </c>
      <c r="E123" s="15" t="e">
        <f ca="1"/>
        <v>#N/A</v>
      </c>
      <c r="F123" s="15" t="e">
        <f ca="1"/>
        <v>#N/A</v>
      </c>
      <c r="G123" s="5" t="e">
        <f ca="1"/>
        <v>#N/A</v>
      </c>
      <c r="H123" s="103" t="e">
        <f t="shared" ca="1" si="4"/>
        <v>#N/A</v>
      </c>
      <c r="I123" s="161" t="e">
        <f t="shared" ca="1" si="5"/>
        <v>#N/A</v>
      </c>
    </row>
    <row r="124" spans="1:9" x14ac:dyDescent="0.25">
      <c r="A124" s="14" t="e">
        <f ca="1"/>
        <v>#N/A</v>
      </c>
      <c r="B124" s="3" t="e">
        <f ca="1"/>
        <v>#N/A</v>
      </c>
      <c r="C124" s="6" t="e">
        <f ca="1"/>
        <v>#N/A</v>
      </c>
      <c r="D124" s="15" t="e">
        <f ca="1"/>
        <v>#N/A</v>
      </c>
      <c r="E124" s="15" t="e">
        <f ca="1"/>
        <v>#N/A</v>
      </c>
      <c r="F124" s="15" t="e">
        <f ca="1"/>
        <v>#N/A</v>
      </c>
      <c r="G124" s="5" t="e">
        <f ca="1"/>
        <v>#N/A</v>
      </c>
      <c r="H124" s="103" t="e">
        <f t="shared" ca="1" si="4"/>
        <v>#N/A</v>
      </c>
      <c r="I124" s="161" t="e">
        <f t="shared" ca="1" si="5"/>
        <v>#N/A</v>
      </c>
    </row>
    <row r="125" spans="1:9" x14ac:dyDescent="0.25">
      <c r="A125" s="14" t="e">
        <f ca="1"/>
        <v>#N/A</v>
      </c>
      <c r="B125" s="3" t="e">
        <f ca="1"/>
        <v>#N/A</v>
      </c>
      <c r="C125" s="6" t="e">
        <f ca="1"/>
        <v>#N/A</v>
      </c>
      <c r="D125" s="15" t="e">
        <f ca="1"/>
        <v>#N/A</v>
      </c>
      <c r="E125" s="15" t="e">
        <f ca="1"/>
        <v>#N/A</v>
      </c>
      <c r="F125" s="15" t="e">
        <f ca="1"/>
        <v>#N/A</v>
      </c>
      <c r="G125" s="5" t="e">
        <f ca="1"/>
        <v>#N/A</v>
      </c>
      <c r="H125" s="103" t="e">
        <f t="shared" ca="1" si="4"/>
        <v>#N/A</v>
      </c>
      <c r="I125" s="161" t="e">
        <f t="shared" ca="1" si="5"/>
        <v>#N/A</v>
      </c>
    </row>
    <row r="126" spans="1:9" x14ac:dyDescent="0.25">
      <c r="A126" s="14" t="e">
        <f ca="1"/>
        <v>#N/A</v>
      </c>
      <c r="B126" s="3" t="e">
        <f ca="1"/>
        <v>#N/A</v>
      </c>
      <c r="C126" s="6" t="e">
        <f ca="1"/>
        <v>#N/A</v>
      </c>
      <c r="D126" s="15" t="e">
        <f ca="1"/>
        <v>#N/A</v>
      </c>
      <c r="E126" s="15" t="e">
        <f ca="1"/>
        <v>#N/A</v>
      </c>
      <c r="F126" s="15" t="e">
        <f ca="1"/>
        <v>#N/A</v>
      </c>
      <c r="G126" s="5" t="e">
        <f ca="1"/>
        <v>#N/A</v>
      </c>
      <c r="H126" s="103" t="e">
        <f t="shared" ca="1" si="4"/>
        <v>#N/A</v>
      </c>
      <c r="I126" s="161" t="e">
        <f t="shared" ca="1" si="5"/>
        <v>#N/A</v>
      </c>
    </row>
    <row r="127" spans="1:9" x14ac:dyDescent="0.25">
      <c r="A127" s="14" t="e">
        <f ca="1"/>
        <v>#N/A</v>
      </c>
      <c r="B127" s="3" t="e">
        <f ca="1"/>
        <v>#N/A</v>
      </c>
      <c r="C127" s="6" t="e">
        <f ca="1"/>
        <v>#N/A</v>
      </c>
      <c r="D127" s="15" t="e">
        <f ca="1"/>
        <v>#N/A</v>
      </c>
      <c r="E127" s="15" t="e">
        <f ca="1"/>
        <v>#N/A</v>
      </c>
      <c r="F127" s="15" t="e">
        <f ca="1"/>
        <v>#N/A</v>
      </c>
      <c r="G127" s="5" t="e">
        <f ca="1"/>
        <v>#N/A</v>
      </c>
      <c r="H127" s="103" t="e">
        <f t="shared" ca="1" si="4"/>
        <v>#N/A</v>
      </c>
      <c r="I127" s="161" t="e">
        <f t="shared" ca="1" si="5"/>
        <v>#N/A</v>
      </c>
    </row>
    <row r="128" spans="1:9" x14ac:dyDescent="0.25">
      <c r="A128" s="14" t="e">
        <f ca="1"/>
        <v>#N/A</v>
      </c>
      <c r="B128" s="3" t="e">
        <f ca="1"/>
        <v>#N/A</v>
      </c>
      <c r="C128" s="6" t="e">
        <f ca="1"/>
        <v>#N/A</v>
      </c>
      <c r="D128" s="15" t="e">
        <f ca="1"/>
        <v>#N/A</v>
      </c>
      <c r="E128" s="15" t="e">
        <f ca="1"/>
        <v>#N/A</v>
      </c>
      <c r="F128" s="15" t="e">
        <f ca="1"/>
        <v>#N/A</v>
      </c>
      <c r="G128" s="5" t="e">
        <f ca="1"/>
        <v>#N/A</v>
      </c>
      <c r="H128" s="103" t="e">
        <f t="shared" ca="1" si="4"/>
        <v>#N/A</v>
      </c>
      <c r="I128" s="161" t="e">
        <f t="shared" ca="1" si="5"/>
        <v>#N/A</v>
      </c>
    </row>
    <row r="129" spans="1:9" x14ac:dyDescent="0.25">
      <c r="A129" s="14" t="e">
        <f ca="1"/>
        <v>#N/A</v>
      </c>
      <c r="B129" s="3" t="e">
        <f ca="1"/>
        <v>#N/A</v>
      </c>
      <c r="C129" s="6" t="e">
        <f ca="1"/>
        <v>#N/A</v>
      </c>
      <c r="D129" s="15" t="e">
        <f ca="1"/>
        <v>#N/A</v>
      </c>
      <c r="E129" s="15" t="e">
        <f ca="1"/>
        <v>#N/A</v>
      </c>
      <c r="F129" s="15" t="e">
        <f ca="1"/>
        <v>#N/A</v>
      </c>
      <c r="G129" s="5" t="e">
        <f ca="1"/>
        <v>#N/A</v>
      </c>
      <c r="H129" s="103" t="e">
        <f t="shared" ca="1" si="4"/>
        <v>#N/A</v>
      </c>
      <c r="I129" s="161" t="e">
        <f t="shared" ca="1" si="5"/>
        <v>#N/A</v>
      </c>
    </row>
    <row r="130" spans="1:9" x14ac:dyDescent="0.25">
      <c r="A130" s="14" t="e">
        <f ca="1"/>
        <v>#N/A</v>
      </c>
      <c r="B130" s="3" t="e">
        <f ca="1"/>
        <v>#N/A</v>
      </c>
      <c r="C130" s="6" t="e">
        <f ca="1"/>
        <v>#N/A</v>
      </c>
      <c r="D130" s="15" t="e">
        <f ca="1"/>
        <v>#N/A</v>
      </c>
      <c r="E130" s="15" t="e">
        <f ca="1"/>
        <v>#N/A</v>
      </c>
      <c r="F130" s="15" t="e">
        <f ca="1"/>
        <v>#N/A</v>
      </c>
      <c r="G130" s="5" t="e">
        <f ca="1"/>
        <v>#N/A</v>
      </c>
      <c r="H130" s="103" t="e">
        <f t="shared" ca="1" si="4"/>
        <v>#N/A</v>
      </c>
      <c r="I130" s="161" t="e">
        <f t="shared" ref="I130:I161" ca="1" si="6">H130*BTCPriceEUR</f>
        <v>#N/A</v>
      </c>
    </row>
    <row r="131" spans="1:9" x14ac:dyDescent="0.25">
      <c r="A131" s="14" t="e">
        <f ca="1"/>
        <v>#N/A</v>
      </c>
      <c r="B131" s="3" t="e">
        <f ca="1"/>
        <v>#N/A</v>
      </c>
      <c r="C131" s="6" t="e">
        <f ca="1"/>
        <v>#N/A</v>
      </c>
      <c r="D131" s="15" t="e">
        <f ca="1"/>
        <v>#N/A</v>
      </c>
      <c r="E131" s="15" t="e">
        <f ca="1"/>
        <v>#N/A</v>
      </c>
      <c r="F131" s="15" t="e">
        <f ca="1"/>
        <v>#N/A</v>
      </c>
      <c r="G131" s="5" t="e">
        <f ca="1"/>
        <v>#N/A</v>
      </c>
      <c r="H131" s="103" t="e">
        <f t="shared" ref="H131:H194" ca="1" si="7">F131+G131</f>
        <v>#N/A</v>
      </c>
      <c r="I131" s="161" t="e">
        <f t="shared" ca="1" si="6"/>
        <v>#N/A</v>
      </c>
    </row>
    <row r="132" spans="1:9" x14ac:dyDescent="0.25">
      <c r="A132" s="14" t="e">
        <f ca="1"/>
        <v>#N/A</v>
      </c>
      <c r="B132" s="3" t="e">
        <f ca="1"/>
        <v>#N/A</v>
      </c>
      <c r="C132" s="6" t="e">
        <f ca="1"/>
        <v>#N/A</v>
      </c>
      <c r="D132" s="15" t="e">
        <f ca="1"/>
        <v>#N/A</v>
      </c>
      <c r="E132" s="15" t="e">
        <f ca="1"/>
        <v>#N/A</v>
      </c>
      <c r="F132" s="15" t="e">
        <f ca="1"/>
        <v>#N/A</v>
      </c>
      <c r="G132" s="5" t="e">
        <f ca="1"/>
        <v>#N/A</v>
      </c>
      <c r="H132" s="103" t="e">
        <f t="shared" ca="1" si="7"/>
        <v>#N/A</v>
      </c>
      <c r="I132" s="161" t="e">
        <f t="shared" ca="1" si="6"/>
        <v>#N/A</v>
      </c>
    </row>
    <row r="133" spans="1:9" x14ac:dyDescent="0.25">
      <c r="A133" s="14" t="e">
        <f ca="1"/>
        <v>#N/A</v>
      </c>
      <c r="B133" s="3" t="e">
        <f ca="1"/>
        <v>#N/A</v>
      </c>
      <c r="C133" s="6" t="e">
        <f ca="1"/>
        <v>#N/A</v>
      </c>
      <c r="D133" s="15" t="e">
        <f ca="1"/>
        <v>#N/A</v>
      </c>
      <c r="E133" s="15" t="e">
        <f ca="1"/>
        <v>#N/A</v>
      </c>
      <c r="F133" s="15" t="e">
        <f ca="1"/>
        <v>#N/A</v>
      </c>
      <c r="G133" s="5" t="e">
        <f ca="1"/>
        <v>#N/A</v>
      </c>
      <c r="H133" s="103" t="e">
        <f t="shared" ca="1" si="7"/>
        <v>#N/A</v>
      </c>
      <c r="I133" s="161" t="e">
        <f t="shared" ca="1" si="6"/>
        <v>#N/A</v>
      </c>
    </row>
    <row r="134" spans="1:9" x14ac:dyDescent="0.25">
      <c r="A134" s="14" t="e">
        <f ca="1"/>
        <v>#N/A</v>
      </c>
      <c r="B134" s="3" t="e">
        <f ca="1"/>
        <v>#N/A</v>
      </c>
      <c r="C134" s="6" t="e">
        <f ca="1"/>
        <v>#N/A</v>
      </c>
      <c r="D134" s="15" t="e">
        <f ca="1"/>
        <v>#N/A</v>
      </c>
      <c r="E134" s="15" t="e">
        <f ca="1"/>
        <v>#N/A</v>
      </c>
      <c r="F134" s="15" t="e">
        <f ca="1"/>
        <v>#N/A</v>
      </c>
      <c r="G134" s="5" t="e">
        <f ca="1"/>
        <v>#N/A</v>
      </c>
      <c r="H134" s="103" t="e">
        <f t="shared" ca="1" si="7"/>
        <v>#N/A</v>
      </c>
      <c r="I134" s="161" t="e">
        <f t="shared" ca="1" si="6"/>
        <v>#N/A</v>
      </c>
    </row>
    <row r="135" spans="1:9" x14ac:dyDescent="0.25">
      <c r="A135" s="14" t="e">
        <f ca="1"/>
        <v>#N/A</v>
      </c>
      <c r="B135" s="3" t="e">
        <f ca="1"/>
        <v>#N/A</v>
      </c>
      <c r="C135" s="6" t="e">
        <f ca="1"/>
        <v>#N/A</v>
      </c>
      <c r="D135" s="15" t="e">
        <f ca="1"/>
        <v>#N/A</v>
      </c>
      <c r="E135" s="15" t="e">
        <f ca="1"/>
        <v>#N/A</v>
      </c>
      <c r="F135" s="15" t="e">
        <f ca="1"/>
        <v>#N/A</v>
      </c>
      <c r="G135" s="5" t="e">
        <f ca="1"/>
        <v>#N/A</v>
      </c>
      <c r="H135" s="103" t="e">
        <f t="shared" ca="1" si="7"/>
        <v>#N/A</v>
      </c>
      <c r="I135" s="161" t="e">
        <f t="shared" ca="1" si="6"/>
        <v>#N/A</v>
      </c>
    </row>
    <row r="136" spans="1:9" x14ac:dyDescent="0.25">
      <c r="A136" s="14" t="e">
        <f ca="1"/>
        <v>#N/A</v>
      </c>
      <c r="B136" s="3" t="e">
        <f ca="1"/>
        <v>#N/A</v>
      </c>
      <c r="C136" s="6" t="e">
        <f ca="1"/>
        <v>#N/A</v>
      </c>
      <c r="D136" s="15" t="e">
        <f ca="1"/>
        <v>#N/A</v>
      </c>
      <c r="E136" s="15" t="e">
        <f ca="1"/>
        <v>#N/A</v>
      </c>
      <c r="F136" s="15" t="e">
        <f ca="1"/>
        <v>#N/A</v>
      </c>
      <c r="G136" s="5" t="e">
        <f ca="1"/>
        <v>#N/A</v>
      </c>
      <c r="H136" s="103" t="e">
        <f t="shared" ca="1" si="7"/>
        <v>#N/A</v>
      </c>
      <c r="I136" s="161" t="e">
        <f t="shared" ca="1" si="6"/>
        <v>#N/A</v>
      </c>
    </row>
    <row r="137" spans="1:9" x14ac:dyDescent="0.25">
      <c r="A137" s="14" t="e">
        <f ca="1"/>
        <v>#N/A</v>
      </c>
      <c r="B137" s="3" t="e">
        <f ca="1"/>
        <v>#N/A</v>
      </c>
      <c r="C137" s="6" t="e">
        <f ca="1"/>
        <v>#N/A</v>
      </c>
      <c r="D137" s="15" t="e">
        <f ca="1"/>
        <v>#N/A</v>
      </c>
      <c r="E137" s="15" t="e">
        <f ca="1"/>
        <v>#N/A</v>
      </c>
      <c r="F137" s="15" t="e">
        <f ca="1"/>
        <v>#N/A</v>
      </c>
      <c r="G137" s="5" t="e">
        <f ca="1"/>
        <v>#N/A</v>
      </c>
      <c r="H137" s="103" t="e">
        <f t="shared" ca="1" si="7"/>
        <v>#N/A</v>
      </c>
      <c r="I137" s="161" t="e">
        <f t="shared" ca="1" si="6"/>
        <v>#N/A</v>
      </c>
    </row>
    <row r="138" spans="1:9" x14ac:dyDescent="0.25">
      <c r="A138" s="14" t="e">
        <f ca="1"/>
        <v>#N/A</v>
      </c>
      <c r="B138" s="3" t="e">
        <f ca="1"/>
        <v>#N/A</v>
      </c>
      <c r="C138" s="6" t="e">
        <f ca="1"/>
        <v>#N/A</v>
      </c>
      <c r="D138" s="15" t="e">
        <f ca="1"/>
        <v>#N/A</v>
      </c>
      <c r="E138" s="15" t="e">
        <f ca="1"/>
        <v>#N/A</v>
      </c>
      <c r="F138" s="15" t="e">
        <f ca="1"/>
        <v>#N/A</v>
      </c>
      <c r="G138" s="5" t="e">
        <f ca="1"/>
        <v>#N/A</v>
      </c>
      <c r="H138" s="103" t="e">
        <f t="shared" ca="1" si="7"/>
        <v>#N/A</v>
      </c>
      <c r="I138" s="161" t="e">
        <f t="shared" ca="1" si="6"/>
        <v>#N/A</v>
      </c>
    </row>
    <row r="139" spans="1:9" x14ac:dyDescent="0.25">
      <c r="A139" s="14" t="e">
        <f ca="1"/>
        <v>#N/A</v>
      </c>
      <c r="B139" s="3" t="e">
        <f ca="1"/>
        <v>#N/A</v>
      </c>
      <c r="C139" s="6" t="e">
        <f ca="1"/>
        <v>#N/A</v>
      </c>
      <c r="D139" s="15" t="e">
        <f ca="1"/>
        <v>#N/A</v>
      </c>
      <c r="E139" s="15" t="e">
        <f ca="1"/>
        <v>#N/A</v>
      </c>
      <c r="F139" s="15" t="e">
        <f ca="1"/>
        <v>#N/A</v>
      </c>
      <c r="G139" s="5" t="e">
        <f ca="1"/>
        <v>#N/A</v>
      </c>
      <c r="H139" s="103" t="e">
        <f t="shared" ca="1" si="7"/>
        <v>#N/A</v>
      </c>
      <c r="I139" s="161" t="e">
        <f t="shared" ca="1" si="6"/>
        <v>#N/A</v>
      </c>
    </row>
    <row r="140" spans="1:9" x14ac:dyDescent="0.25">
      <c r="A140" s="14" t="e">
        <f ca="1"/>
        <v>#N/A</v>
      </c>
      <c r="B140" s="3" t="e">
        <f ca="1"/>
        <v>#N/A</v>
      </c>
      <c r="C140" s="6" t="e">
        <f ca="1"/>
        <v>#N/A</v>
      </c>
      <c r="D140" s="15" t="e">
        <f ca="1"/>
        <v>#N/A</v>
      </c>
      <c r="E140" s="15" t="e">
        <f ca="1"/>
        <v>#N/A</v>
      </c>
      <c r="F140" s="15" t="e">
        <f ca="1"/>
        <v>#N/A</v>
      </c>
      <c r="G140" s="5" t="e">
        <f ca="1"/>
        <v>#N/A</v>
      </c>
      <c r="H140" s="103" t="e">
        <f t="shared" ca="1" si="7"/>
        <v>#N/A</v>
      </c>
      <c r="I140" s="161" t="e">
        <f t="shared" ca="1" si="6"/>
        <v>#N/A</v>
      </c>
    </row>
    <row r="141" spans="1:9" x14ac:dyDescent="0.25">
      <c r="A141" s="14" t="e">
        <f ca="1"/>
        <v>#N/A</v>
      </c>
      <c r="B141" s="3" t="e">
        <f ca="1"/>
        <v>#N/A</v>
      </c>
      <c r="C141" s="6" t="e">
        <f ca="1"/>
        <v>#N/A</v>
      </c>
      <c r="D141" s="15" t="e">
        <f ca="1"/>
        <v>#N/A</v>
      </c>
      <c r="E141" s="15" t="e">
        <f ca="1"/>
        <v>#N/A</v>
      </c>
      <c r="F141" s="15" t="e">
        <f ca="1"/>
        <v>#N/A</v>
      </c>
      <c r="G141" s="5" t="e">
        <f ca="1"/>
        <v>#N/A</v>
      </c>
      <c r="H141" s="103" t="e">
        <f t="shared" ca="1" si="7"/>
        <v>#N/A</v>
      </c>
      <c r="I141" s="161" t="e">
        <f t="shared" ca="1" si="6"/>
        <v>#N/A</v>
      </c>
    </row>
    <row r="142" spans="1:9" x14ac:dyDescent="0.25">
      <c r="A142" s="14" t="e">
        <f ca="1"/>
        <v>#N/A</v>
      </c>
      <c r="B142" s="3" t="e">
        <f ca="1"/>
        <v>#N/A</v>
      </c>
      <c r="C142" s="6" t="e">
        <f ca="1"/>
        <v>#N/A</v>
      </c>
      <c r="D142" s="15" t="e">
        <f ca="1"/>
        <v>#N/A</v>
      </c>
      <c r="E142" s="15" t="e">
        <f ca="1"/>
        <v>#N/A</v>
      </c>
      <c r="F142" s="15" t="e">
        <f ca="1"/>
        <v>#N/A</v>
      </c>
      <c r="G142" s="5" t="e">
        <f ca="1"/>
        <v>#N/A</v>
      </c>
      <c r="H142" s="103" t="e">
        <f t="shared" ca="1" si="7"/>
        <v>#N/A</v>
      </c>
      <c r="I142" s="161" t="e">
        <f t="shared" ca="1" si="6"/>
        <v>#N/A</v>
      </c>
    </row>
    <row r="143" spans="1:9" x14ac:dyDescent="0.25">
      <c r="A143" s="14" t="e">
        <f ca="1"/>
        <v>#N/A</v>
      </c>
      <c r="B143" s="3" t="e">
        <f ca="1"/>
        <v>#N/A</v>
      </c>
      <c r="C143" s="6" t="e">
        <f ca="1"/>
        <v>#N/A</v>
      </c>
      <c r="D143" s="15" t="e">
        <f ca="1"/>
        <v>#N/A</v>
      </c>
      <c r="E143" s="15" t="e">
        <f ca="1"/>
        <v>#N/A</v>
      </c>
      <c r="F143" s="15" t="e">
        <f ca="1"/>
        <v>#N/A</v>
      </c>
      <c r="G143" s="5" t="e">
        <f ca="1"/>
        <v>#N/A</v>
      </c>
      <c r="H143" s="103" t="e">
        <f t="shared" ca="1" si="7"/>
        <v>#N/A</v>
      </c>
      <c r="I143" s="161" t="e">
        <f t="shared" ca="1" si="6"/>
        <v>#N/A</v>
      </c>
    </row>
    <row r="144" spans="1:9" x14ac:dyDescent="0.25">
      <c r="A144" s="14" t="e">
        <f ca="1"/>
        <v>#N/A</v>
      </c>
      <c r="B144" s="3" t="e">
        <f ca="1"/>
        <v>#N/A</v>
      </c>
      <c r="C144" s="6" t="e">
        <f ca="1"/>
        <v>#N/A</v>
      </c>
      <c r="D144" s="15" t="e">
        <f ca="1"/>
        <v>#N/A</v>
      </c>
      <c r="E144" s="15" t="e">
        <f ca="1"/>
        <v>#N/A</v>
      </c>
      <c r="F144" s="15" t="e">
        <f ca="1"/>
        <v>#N/A</v>
      </c>
      <c r="G144" s="5" t="e">
        <f ca="1"/>
        <v>#N/A</v>
      </c>
      <c r="H144" s="103" t="e">
        <f t="shared" ca="1" si="7"/>
        <v>#N/A</v>
      </c>
      <c r="I144" s="161" t="e">
        <f t="shared" ca="1" si="6"/>
        <v>#N/A</v>
      </c>
    </row>
    <row r="145" spans="1:9" x14ac:dyDescent="0.25">
      <c r="A145" s="14" t="e">
        <f ca="1"/>
        <v>#N/A</v>
      </c>
      <c r="B145" s="3" t="e">
        <f ca="1"/>
        <v>#N/A</v>
      </c>
      <c r="C145" s="6" t="e">
        <f ca="1"/>
        <v>#N/A</v>
      </c>
      <c r="D145" s="15" t="e">
        <f ca="1"/>
        <v>#N/A</v>
      </c>
      <c r="E145" s="15" t="e">
        <f ca="1"/>
        <v>#N/A</v>
      </c>
      <c r="F145" s="15" t="e">
        <f ca="1"/>
        <v>#N/A</v>
      </c>
      <c r="G145" s="5" t="e">
        <f ca="1"/>
        <v>#N/A</v>
      </c>
      <c r="H145" s="103" t="e">
        <f t="shared" ca="1" si="7"/>
        <v>#N/A</v>
      </c>
      <c r="I145" s="161" t="e">
        <f t="shared" ca="1" si="6"/>
        <v>#N/A</v>
      </c>
    </row>
    <row r="146" spans="1:9" x14ac:dyDescent="0.25">
      <c r="A146" s="14" t="e">
        <f ca="1"/>
        <v>#N/A</v>
      </c>
      <c r="B146" s="3" t="e">
        <f ca="1"/>
        <v>#N/A</v>
      </c>
      <c r="C146" s="6" t="e">
        <f ca="1"/>
        <v>#N/A</v>
      </c>
      <c r="D146" s="15" t="e">
        <f ca="1"/>
        <v>#N/A</v>
      </c>
      <c r="E146" s="15" t="e">
        <f ca="1"/>
        <v>#N/A</v>
      </c>
      <c r="F146" s="15" t="e">
        <f ca="1"/>
        <v>#N/A</v>
      </c>
      <c r="G146" s="5" t="e">
        <f ca="1"/>
        <v>#N/A</v>
      </c>
      <c r="H146" s="103" t="e">
        <f t="shared" ca="1" si="7"/>
        <v>#N/A</v>
      </c>
      <c r="I146" s="161" t="e">
        <f t="shared" ca="1" si="6"/>
        <v>#N/A</v>
      </c>
    </row>
    <row r="147" spans="1:9" x14ac:dyDescent="0.25">
      <c r="A147" s="14" t="e">
        <f ca="1"/>
        <v>#N/A</v>
      </c>
      <c r="B147" s="3" t="e">
        <f ca="1"/>
        <v>#N/A</v>
      </c>
      <c r="C147" s="6" t="e">
        <f ca="1"/>
        <v>#N/A</v>
      </c>
      <c r="D147" s="15" t="e">
        <f ca="1"/>
        <v>#N/A</v>
      </c>
      <c r="E147" s="15" t="e">
        <f ca="1"/>
        <v>#N/A</v>
      </c>
      <c r="F147" s="15" t="e">
        <f ca="1"/>
        <v>#N/A</v>
      </c>
      <c r="G147" s="5" t="e">
        <f ca="1"/>
        <v>#N/A</v>
      </c>
      <c r="H147" s="103" t="e">
        <f t="shared" ca="1" si="7"/>
        <v>#N/A</v>
      </c>
      <c r="I147" s="161" t="e">
        <f t="shared" ca="1" si="6"/>
        <v>#N/A</v>
      </c>
    </row>
    <row r="148" spans="1:9" x14ac:dyDescent="0.25">
      <c r="A148" s="14" t="e">
        <f ca="1"/>
        <v>#N/A</v>
      </c>
      <c r="B148" s="3" t="e">
        <f ca="1"/>
        <v>#N/A</v>
      </c>
      <c r="C148" s="6" t="e">
        <f ca="1"/>
        <v>#N/A</v>
      </c>
      <c r="D148" s="15" t="e">
        <f ca="1"/>
        <v>#N/A</v>
      </c>
      <c r="E148" s="15" t="e">
        <f ca="1"/>
        <v>#N/A</v>
      </c>
      <c r="F148" s="15" t="e">
        <f ca="1"/>
        <v>#N/A</v>
      </c>
      <c r="G148" s="5" t="e">
        <f ca="1"/>
        <v>#N/A</v>
      </c>
      <c r="H148" s="103" t="e">
        <f t="shared" ca="1" si="7"/>
        <v>#N/A</v>
      </c>
      <c r="I148" s="161" t="e">
        <f t="shared" ca="1" si="6"/>
        <v>#N/A</v>
      </c>
    </row>
    <row r="149" spans="1:9" x14ac:dyDescent="0.25">
      <c r="A149" s="14" t="e">
        <f ca="1"/>
        <v>#N/A</v>
      </c>
      <c r="B149" s="3" t="e">
        <f ca="1"/>
        <v>#N/A</v>
      </c>
      <c r="C149" s="6" t="e">
        <f ca="1"/>
        <v>#N/A</v>
      </c>
      <c r="D149" s="15" t="e">
        <f ca="1"/>
        <v>#N/A</v>
      </c>
      <c r="E149" s="15" t="e">
        <f ca="1"/>
        <v>#N/A</v>
      </c>
      <c r="F149" s="15" t="e">
        <f ca="1"/>
        <v>#N/A</v>
      </c>
      <c r="G149" s="5" t="e">
        <f ca="1"/>
        <v>#N/A</v>
      </c>
      <c r="H149" s="103" t="e">
        <f t="shared" ca="1" si="7"/>
        <v>#N/A</v>
      </c>
      <c r="I149" s="161" t="e">
        <f t="shared" ca="1" si="6"/>
        <v>#N/A</v>
      </c>
    </row>
    <row r="150" spans="1:9" x14ac:dyDescent="0.25">
      <c r="A150" s="14" t="e">
        <f ca="1"/>
        <v>#N/A</v>
      </c>
      <c r="B150" s="3" t="e">
        <f ca="1"/>
        <v>#N/A</v>
      </c>
      <c r="C150" s="6" t="e">
        <f ca="1"/>
        <v>#N/A</v>
      </c>
      <c r="D150" s="15" t="e">
        <f ca="1"/>
        <v>#N/A</v>
      </c>
      <c r="E150" s="15" t="e">
        <f ca="1"/>
        <v>#N/A</v>
      </c>
      <c r="F150" s="15" t="e">
        <f ca="1"/>
        <v>#N/A</v>
      </c>
      <c r="G150" s="5" t="e">
        <f ca="1"/>
        <v>#N/A</v>
      </c>
      <c r="H150" s="103" t="e">
        <f t="shared" ca="1" si="7"/>
        <v>#N/A</v>
      </c>
      <c r="I150" s="161" t="e">
        <f t="shared" ca="1" si="6"/>
        <v>#N/A</v>
      </c>
    </row>
    <row r="151" spans="1:9" x14ac:dyDescent="0.25">
      <c r="A151" s="14" t="e">
        <f ca="1"/>
        <v>#N/A</v>
      </c>
      <c r="B151" s="3" t="e">
        <f ca="1"/>
        <v>#N/A</v>
      </c>
      <c r="C151" s="6" t="e">
        <f ca="1"/>
        <v>#N/A</v>
      </c>
      <c r="D151" s="15" t="e">
        <f ca="1"/>
        <v>#N/A</v>
      </c>
      <c r="E151" s="15" t="e">
        <f ca="1"/>
        <v>#N/A</v>
      </c>
      <c r="F151" s="15" t="e">
        <f ca="1"/>
        <v>#N/A</v>
      </c>
      <c r="G151" s="5" t="e">
        <f ca="1"/>
        <v>#N/A</v>
      </c>
      <c r="H151" s="103" t="e">
        <f t="shared" ca="1" si="7"/>
        <v>#N/A</v>
      </c>
      <c r="I151" s="161" t="e">
        <f t="shared" ca="1" si="6"/>
        <v>#N/A</v>
      </c>
    </row>
    <row r="152" spans="1:9" x14ac:dyDescent="0.25">
      <c r="A152" s="14" t="e">
        <f ca="1"/>
        <v>#N/A</v>
      </c>
      <c r="B152" s="3" t="e">
        <f ca="1"/>
        <v>#N/A</v>
      </c>
      <c r="C152" s="6" t="e">
        <f ca="1"/>
        <v>#N/A</v>
      </c>
      <c r="D152" s="15" t="e">
        <f ca="1"/>
        <v>#N/A</v>
      </c>
      <c r="E152" s="15" t="e">
        <f ca="1"/>
        <v>#N/A</v>
      </c>
      <c r="F152" s="15" t="e">
        <f ca="1"/>
        <v>#N/A</v>
      </c>
      <c r="G152" s="5" t="e">
        <f ca="1"/>
        <v>#N/A</v>
      </c>
      <c r="H152" s="103" t="e">
        <f t="shared" ca="1" si="7"/>
        <v>#N/A</v>
      </c>
      <c r="I152" s="161" t="e">
        <f t="shared" ca="1" si="6"/>
        <v>#N/A</v>
      </c>
    </row>
    <row r="153" spans="1:9" x14ac:dyDescent="0.25">
      <c r="A153" s="14" t="e">
        <f ca="1"/>
        <v>#N/A</v>
      </c>
      <c r="B153" s="3" t="e">
        <f ca="1"/>
        <v>#N/A</v>
      </c>
      <c r="C153" s="6" t="e">
        <f ca="1"/>
        <v>#N/A</v>
      </c>
      <c r="D153" s="15" t="e">
        <f ca="1"/>
        <v>#N/A</v>
      </c>
      <c r="E153" s="15" t="e">
        <f ca="1"/>
        <v>#N/A</v>
      </c>
      <c r="F153" s="15" t="e">
        <f ca="1"/>
        <v>#N/A</v>
      </c>
      <c r="G153" s="5" t="e">
        <f ca="1"/>
        <v>#N/A</v>
      </c>
      <c r="H153" s="103" t="e">
        <f t="shared" ca="1" si="7"/>
        <v>#N/A</v>
      </c>
      <c r="I153" s="161" t="e">
        <f t="shared" ca="1" si="6"/>
        <v>#N/A</v>
      </c>
    </row>
    <row r="154" spans="1:9" x14ac:dyDescent="0.25">
      <c r="A154" s="14" t="e">
        <f ca="1"/>
        <v>#N/A</v>
      </c>
      <c r="B154" s="3" t="e">
        <f ca="1"/>
        <v>#N/A</v>
      </c>
      <c r="C154" s="6" t="e">
        <f ca="1"/>
        <v>#N/A</v>
      </c>
      <c r="D154" s="15" t="e">
        <f ca="1"/>
        <v>#N/A</v>
      </c>
      <c r="E154" s="15" t="e">
        <f ca="1"/>
        <v>#N/A</v>
      </c>
      <c r="F154" s="15" t="e">
        <f ca="1"/>
        <v>#N/A</v>
      </c>
      <c r="G154" s="5" t="e">
        <f ca="1"/>
        <v>#N/A</v>
      </c>
      <c r="H154" s="103" t="e">
        <f t="shared" ca="1" si="7"/>
        <v>#N/A</v>
      </c>
      <c r="I154" s="161" t="e">
        <f t="shared" ca="1" si="6"/>
        <v>#N/A</v>
      </c>
    </row>
    <row r="155" spans="1:9" x14ac:dyDescent="0.25">
      <c r="A155" s="14" t="e">
        <f ca="1"/>
        <v>#N/A</v>
      </c>
      <c r="B155" s="3" t="e">
        <f ca="1"/>
        <v>#N/A</v>
      </c>
      <c r="C155" s="6" t="e">
        <f ca="1"/>
        <v>#N/A</v>
      </c>
      <c r="D155" s="15" t="e">
        <f ca="1"/>
        <v>#N/A</v>
      </c>
      <c r="E155" s="15" t="e">
        <f ca="1"/>
        <v>#N/A</v>
      </c>
      <c r="F155" s="15" t="e">
        <f ca="1"/>
        <v>#N/A</v>
      </c>
      <c r="G155" s="5" t="e">
        <f ca="1"/>
        <v>#N/A</v>
      </c>
      <c r="H155" s="103" t="e">
        <f t="shared" ca="1" si="7"/>
        <v>#N/A</v>
      </c>
      <c r="I155" s="161" t="e">
        <f t="shared" ca="1" si="6"/>
        <v>#N/A</v>
      </c>
    </row>
    <row r="156" spans="1:9" x14ac:dyDescent="0.25">
      <c r="A156" s="14" t="e">
        <f ca="1"/>
        <v>#N/A</v>
      </c>
      <c r="B156" s="3" t="e">
        <f ca="1"/>
        <v>#N/A</v>
      </c>
      <c r="C156" s="6" t="e">
        <f ca="1"/>
        <v>#N/A</v>
      </c>
      <c r="D156" s="15" t="e">
        <f ca="1"/>
        <v>#N/A</v>
      </c>
      <c r="E156" s="15" t="e">
        <f ca="1"/>
        <v>#N/A</v>
      </c>
      <c r="F156" s="15" t="e">
        <f ca="1"/>
        <v>#N/A</v>
      </c>
      <c r="G156" s="5" t="e">
        <f ca="1"/>
        <v>#N/A</v>
      </c>
      <c r="H156" s="103" t="e">
        <f t="shared" ca="1" si="7"/>
        <v>#N/A</v>
      </c>
      <c r="I156" s="161" t="e">
        <f t="shared" ca="1" si="6"/>
        <v>#N/A</v>
      </c>
    </row>
    <row r="157" spans="1:9" x14ac:dyDescent="0.25">
      <c r="A157" s="14" t="e">
        <f ca="1"/>
        <v>#N/A</v>
      </c>
      <c r="B157" s="3" t="e">
        <f ca="1"/>
        <v>#N/A</v>
      </c>
      <c r="C157" s="6" t="e">
        <f ca="1"/>
        <v>#N/A</v>
      </c>
      <c r="D157" s="15" t="e">
        <f ca="1"/>
        <v>#N/A</v>
      </c>
      <c r="E157" s="15" t="e">
        <f ca="1"/>
        <v>#N/A</v>
      </c>
      <c r="F157" s="15" t="e">
        <f ca="1"/>
        <v>#N/A</v>
      </c>
      <c r="G157" s="5" t="e">
        <f ca="1"/>
        <v>#N/A</v>
      </c>
      <c r="H157" s="103" t="e">
        <f t="shared" ca="1" si="7"/>
        <v>#N/A</v>
      </c>
      <c r="I157" s="161" t="e">
        <f t="shared" ca="1" si="6"/>
        <v>#N/A</v>
      </c>
    </row>
    <row r="158" spans="1:9" x14ac:dyDescent="0.25">
      <c r="A158" s="14" t="e">
        <f ca="1"/>
        <v>#N/A</v>
      </c>
      <c r="B158" s="3" t="e">
        <f ca="1"/>
        <v>#N/A</v>
      </c>
      <c r="C158" s="6" t="e">
        <f ca="1"/>
        <v>#N/A</v>
      </c>
      <c r="D158" s="15" t="e">
        <f ca="1"/>
        <v>#N/A</v>
      </c>
      <c r="E158" s="15" t="e">
        <f ca="1"/>
        <v>#N/A</v>
      </c>
      <c r="F158" s="15" t="e">
        <f ca="1"/>
        <v>#N/A</v>
      </c>
      <c r="G158" s="5" t="e">
        <f ca="1"/>
        <v>#N/A</v>
      </c>
      <c r="H158" s="103" t="e">
        <f t="shared" ca="1" si="7"/>
        <v>#N/A</v>
      </c>
      <c r="I158" s="161" t="e">
        <f t="shared" ca="1" si="6"/>
        <v>#N/A</v>
      </c>
    </row>
    <row r="159" spans="1:9" x14ac:dyDescent="0.25">
      <c r="A159" s="14" t="e">
        <f ca="1"/>
        <v>#N/A</v>
      </c>
      <c r="B159" s="3" t="e">
        <f ca="1"/>
        <v>#N/A</v>
      </c>
      <c r="C159" s="6" t="e">
        <f ca="1"/>
        <v>#N/A</v>
      </c>
      <c r="D159" s="15" t="e">
        <f ca="1"/>
        <v>#N/A</v>
      </c>
      <c r="E159" s="15" t="e">
        <f ca="1"/>
        <v>#N/A</v>
      </c>
      <c r="F159" s="15" t="e">
        <f ca="1"/>
        <v>#N/A</v>
      </c>
      <c r="G159" s="5" t="e">
        <f ca="1"/>
        <v>#N/A</v>
      </c>
      <c r="H159" s="103" t="e">
        <f t="shared" ca="1" si="7"/>
        <v>#N/A</v>
      </c>
      <c r="I159" s="161" t="e">
        <f t="shared" ca="1" si="6"/>
        <v>#N/A</v>
      </c>
    </row>
    <row r="160" spans="1:9" x14ac:dyDescent="0.25">
      <c r="A160" s="14" t="e">
        <f ca="1"/>
        <v>#N/A</v>
      </c>
      <c r="B160" s="3" t="e">
        <f ca="1"/>
        <v>#N/A</v>
      </c>
      <c r="C160" s="6" t="e">
        <f ca="1"/>
        <v>#N/A</v>
      </c>
      <c r="D160" s="15" t="e">
        <f ca="1"/>
        <v>#N/A</v>
      </c>
      <c r="E160" s="15" t="e">
        <f ca="1"/>
        <v>#N/A</v>
      </c>
      <c r="F160" s="15" t="e">
        <f ca="1"/>
        <v>#N/A</v>
      </c>
      <c r="G160" s="5" t="e">
        <f ca="1"/>
        <v>#N/A</v>
      </c>
      <c r="H160" s="103" t="e">
        <f t="shared" ca="1" si="7"/>
        <v>#N/A</v>
      </c>
      <c r="I160" s="161" t="e">
        <f t="shared" ca="1" si="6"/>
        <v>#N/A</v>
      </c>
    </row>
    <row r="161" spans="1:9" x14ac:dyDescent="0.25">
      <c r="A161" s="14" t="e">
        <f ca="1"/>
        <v>#N/A</v>
      </c>
      <c r="B161" s="3" t="e">
        <f ca="1"/>
        <v>#N/A</v>
      </c>
      <c r="C161" s="6" t="e">
        <f ca="1"/>
        <v>#N/A</v>
      </c>
      <c r="D161" s="15" t="e">
        <f ca="1"/>
        <v>#N/A</v>
      </c>
      <c r="E161" s="15" t="e">
        <f ca="1"/>
        <v>#N/A</v>
      </c>
      <c r="F161" s="15" t="e">
        <f ca="1"/>
        <v>#N/A</v>
      </c>
      <c r="G161" s="5" t="e">
        <f ca="1"/>
        <v>#N/A</v>
      </c>
      <c r="H161" s="103" t="e">
        <f t="shared" ca="1" si="7"/>
        <v>#N/A</v>
      </c>
      <c r="I161" s="161" t="e">
        <f t="shared" ca="1" si="6"/>
        <v>#N/A</v>
      </c>
    </row>
    <row r="162" spans="1:9" x14ac:dyDescent="0.25">
      <c r="A162" s="14" t="e">
        <f ca="1"/>
        <v>#N/A</v>
      </c>
      <c r="B162" s="3" t="e">
        <f ca="1"/>
        <v>#N/A</v>
      </c>
      <c r="C162" s="6" t="e">
        <f ca="1"/>
        <v>#N/A</v>
      </c>
      <c r="D162" s="15" t="e">
        <f ca="1"/>
        <v>#N/A</v>
      </c>
      <c r="E162" s="15" t="e">
        <f ca="1"/>
        <v>#N/A</v>
      </c>
      <c r="F162" s="15" t="e">
        <f ca="1"/>
        <v>#N/A</v>
      </c>
      <c r="G162" s="5" t="e">
        <f ca="1"/>
        <v>#N/A</v>
      </c>
      <c r="H162" s="103" t="e">
        <f t="shared" ca="1" si="7"/>
        <v>#N/A</v>
      </c>
      <c r="I162" s="161" t="e">
        <f t="shared" ref="I162:I193" ca="1" si="8">H162*BTCPriceEUR</f>
        <v>#N/A</v>
      </c>
    </row>
    <row r="163" spans="1:9" x14ac:dyDescent="0.25">
      <c r="A163" s="14" t="e">
        <f ca="1"/>
        <v>#N/A</v>
      </c>
      <c r="B163" s="3" t="e">
        <f ca="1"/>
        <v>#N/A</v>
      </c>
      <c r="C163" s="6" t="e">
        <f ca="1"/>
        <v>#N/A</v>
      </c>
      <c r="D163" s="15" t="e">
        <f ca="1"/>
        <v>#N/A</v>
      </c>
      <c r="E163" s="15" t="e">
        <f ca="1"/>
        <v>#N/A</v>
      </c>
      <c r="F163" s="15" t="e">
        <f ca="1"/>
        <v>#N/A</v>
      </c>
      <c r="G163" s="5" t="e">
        <f ca="1"/>
        <v>#N/A</v>
      </c>
      <c r="H163" s="103" t="e">
        <f t="shared" ca="1" si="7"/>
        <v>#N/A</v>
      </c>
      <c r="I163" s="161" t="e">
        <f t="shared" ca="1" si="8"/>
        <v>#N/A</v>
      </c>
    </row>
    <row r="164" spans="1:9" x14ac:dyDescent="0.25">
      <c r="A164" s="14" t="e">
        <f ca="1"/>
        <v>#N/A</v>
      </c>
      <c r="B164" s="3" t="e">
        <f ca="1"/>
        <v>#N/A</v>
      </c>
      <c r="C164" s="6" t="e">
        <f ca="1"/>
        <v>#N/A</v>
      </c>
      <c r="D164" s="15" t="e">
        <f ca="1"/>
        <v>#N/A</v>
      </c>
      <c r="E164" s="15" t="e">
        <f ca="1"/>
        <v>#N/A</v>
      </c>
      <c r="F164" s="15" t="e">
        <f ca="1"/>
        <v>#N/A</v>
      </c>
      <c r="G164" s="5" t="e">
        <f ca="1"/>
        <v>#N/A</v>
      </c>
      <c r="H164" s="103" t="e">
        <f t="shared" ca="1" si="7"/>
        <v>#N/A</v>
      </c>
      <c r="I164" s="161" t="e">
        <f t="shared" ca="1" si="8"/>
        <v>#N/A</v>
      </c>
    </row>
    <row r="165" spans="1:9" x14ac:dyDescent="0.25">
      <c r="A165" s="14" t="e">
        <f ca="1"/>
        <v>#N/A</v>
      </c>
      <c r="B165" s="3" t="e">
        <f ca="1"/>
        <v>#N/A</v>
      </c>
      <c r="C165" s="6" t="e">
        <f ca="1"/>
        <v>#N/A</v>
      </c>
      <c r="D165" s="15" t="e">
        <f ca="1"/>
        <v>#N/A</v>
      </c>
      <c r="E165" s="15" t="e">
        <f ca="1"/>
        <v>#N/A</v>
      </c>
      <c r="F165" s="15" t="e">
        <f ca="1"/>
        <v>#N/A</v>
      </c>
      <c r="G165" s="5" t="e">
        <f ca="1"/>
        <v>#N/A</v>
      </c>
      <c r="H165" s="103" t="e">
        <f t="shared" ca="1" si="7"/>
        <v>#N/A</v>
      </c>
      <c r="I165" s="161" t="e">
        <f t="shared" ca="1" si="8"/>
        <v>#N/A</v>
      </c>
    </row>
    <row r="166" spans="1:9" x14ac:dyDescent="0.25">
      <c r="A166" s="14" t="e">
        <f ca="1"/>
        <v>#N/A</v>
      </c>
      <c r="B166" s="3" t="e">
        <f ca="1"/>
        <v>#N/A</v>
      </c>
      <c r="C166" s="6" t="e">
        <f ca="1"/>
        <v>#N/A</v>
      </c>
      <c r="D166" s="15" t="e">
        <f ca="1"/>
        <v>#N/A</v>
      </c>
      <c r="E166" s="15" t="e">
        <f ca="1"/>
        <v>#N/A</v>
      </c>
      <c r="F166" s="15" t="e">
        <f ca="1"/>
        <v>#N/A</v>
      </c>
      <c r="G166" s="5" t="e">
        <f ca="1"/>
        <v>#N/A</v>
      </c>
      <c r="H166" s="103" t="e">
        <f t="shared" ca="1" si="7"/>
        <v>#N/A</v>
      </c>
      <c r="I166" s="161" t="e">
        <f t="shared" ca="1" si="8"/>
        <v>#N/A</v>
      </c>
    </row>
    <row r="167" spans="1:9" x14ac:dyDescent="0.25">
      <c r="A167" s="14" t="e">
        <f ca="1"/>
        <v>#N/A</v>
      </c>
      <c r="B167" s="3" t="e">
        <f ca="1"/>
        <v>#N/A</v>
      </c>
      <c r="C167" s="6" t="e">
        <f ca="1"/>
        <v>#N/A</v>
      </c>
      <c r="D167" s="15" t="e">
        <f ca="1"/>
        <v>#N/A</v>
      </c>
      <c r="E167" s="15" t="e">
        <f ca="1"/>
        <v>#N/A</v>
      </c>
      <c r="F167" s="15" t="e">
        <f ca="1"/>
        <v>#N/A</v>
      </c>
      <c r="G167" s="5" t="e">
        <f ca="1"/>
        <v>#N/A</v>
      </c>
      <c r="H167" s="103" t="e">
        <f t="shared" ca="1" si="7"/>
        <v>#N/A</v>
      </c>
      <c r="I167" s="161" t="e">
        <f t="shared" ca="1" si="8"/>
        <v>#N/A</v>
      </c>
    </row>
    <row r="168" spans="1:9" x14ac:dyDescent="0.25">
      <c r="A168" s="14" t="e">
        <f ca="1"/>
        <v>#N/A</v>
      </c>
      <c r="B168" s="3" t="e">
        <f ca="1"/>
        <v>#N/A</v>
      </c>
      <c r="C168" s="6" t="e">
        <f ca="1"/>
        <v>#N/A</v>
      </c>
      <c r="D168" s="15" t="e">
        <f ca="1"/>
        <v>#N/A</v>
      </c>
      <c r="E168" s="15" t="e">
        <f ca="1"/>
        <v>#N/A</v>
      </c>
      <c r="F168" s="15" t="e">
        <f ca="1"/>
        <v>#N/A</v>
      </c>
      <c r="G168" s="5" t="e">
        <f ca="1"/>
        <v>#N/A</v>
      </c>
      <c r="H168" s="103" t="e">
        <f t="shared" ca="1" si="7"/>
        <v>#N/A</v>
      </c>
      <c r="I168" s="161" t="e">
        <f t="shared" ca="1" si="8"/>
        <v>#N/A</v>
      </c>
    </row>
    <row r="169" spans="1:9" x14ac:dyDescent="0.25">
      <c r="A169" s="14" t="e">
        <f ca="1"/>
        <v>#N/A</v>
      </c>
      <c r="B169" s="3" t="e">
        <f ca="1"/>
        <v>#N/A</v>
      </c>
      <c r="C169" s="6" t="e">
        <f ca="1"/>
        <v>#N/A</v>
      </c>
      <c r="D169" s="15" t="e">
        <f ca="1"/>
        <v>#N/A</v>
      </c>
      <c r="E169" s="15" t="e">
        <f ca="1"/>
        <v>#N/A</v>
      </c>
      <c r="F169" s="15" t="e">
        <f ca="1"/>
        <v>#N/A</v>
      </c>
      <c r="G169" s="5" t="e">
        <f ca="1"/>
        <v>#N/A</v>
      </c>
      <c r="H169" s="103" t="e">
        <f t="shared" ca="1" si="7"/>
        <v>#N/A</v>
      </c>
      <c r="I169" s="161" t="e">
        <f t="shared" ca="1" si="8"/>
        <v>#N/A</v>
      </c>
    </row>
    <row r="170" spans="1:9" x14ac:dyDescent="0.25">
      <c r="A170" s="14" t="e">
        <f ca="1"/>
        <v>#N/A</v>
      </c>
      <c r="B170" s="3" t="e">
        <f ca="1"/>
        <v>#N/A</v>
      </c>
      <c r="C170" s="6" t="e">
        <f ca="1"/>
        <v>#N/A</v>
      </c>
      <c r="D170" s="15" t="e">
        <f ca="1"/>
        <v>#N/A</v>
      </c>
      <c r="E170" s="15" t="e">
        <f ca="1"/>
        <v>#N/A</v>
      </c>
      <c r="F170" s="15" t="e">
        <f ca="1"/>
        <v>#N/A</v>
      </c>
      <c r="G170" s="5" t="e">
        <f ca="1"/>
        <v>#N/A</v>
      </c>
      <c r="H170" s="103" t="e">
        <f t="shared" ca="1" si="7"/>
        <v>#N/A</v>
      </c>
      <c r="I170" s="161" t="e">
        <f t="shared" ca="1" si="8"/>
        <v>#N/A</v>
      </c>
    </row>
    <row r="171" spans="1:9" x14ac:dyDescent="0.25">
      <c r="A171" s="14" t="e">
        <f ca="1"/>
        <v>#N/A</v>
      </c>
      <c r="B171" s="3" t="e">
        <f ca="1"/>
        <v>#N/A</v>
      </c>
      <c r="C171" s="6" t="e">
        <f ca="1"/>
        <v>#N/A</v>
      </c>
      <c r="D171" s="15" t="e">
        <f ca="1"/>
        <v>#N/A</v>
      </c>
      <c r="E171" s="15" t="e">
        <f ca="1"/>
        <v>#N/A</v>
      </c>
      <c r="F171" s="15" t="e">
        <f ca="1"/>
        <v>#N/A</v>
      </c>
      <c r="G171" s="5" t="e">
        <f ca="1"/>
        <v>#N/A</v>
      </c>
      <c r="H171" s="103" t="e">
        <f t="shared" ca="1" si="7"/>
        <v>#N/A</v>
      </c>
      <c r="I171" s="161" t="e">
        <f t="shared" ca="1" si="8"/>
        <v>#N/A</v>
      </c>
    </row>
    <row r="172" spans="1:9" x14ac:dyDescent="0.25">
      <c r="A172" s="14" t="e">
        <f ca="1"/>
        <v>#N/A</v>
      </c>
      <c r="B172" s="3" t="e">
        <f ca="1"/>
        <v>#N/A</v>
      </c>
      <c r="C172" s="6" t="e">
        <f ca="1"/>
        <v>#N/A</v>
      </c>
      <c r="D172" s="15" t="e">
        <f ca="1"/>
        <v>#N/A</v>
      </c>
      <c r="E172" s="15" t="e">
        <f ca="1"/>
        <v>#N/A</v>
      </c>
      <c r="F172" s="15" t="e">
        <f ca="1"/>
        <v>#N/A</v>
      </c>
      <c r="G172" s="5" t="e">
        <f ca="1"/>
        <v>#N/A</v>
      </c>
      <c r="H172" s="103" t="e">
        <f t="shared" ca="1" si="7"/>
        <v>#N/A</v>
      </c>
      <c r="I172" s="161" t="e">
        <f t="shared" ca="1" si="8"/>
        <v>#N/A</v>
      </c>
    </row>
    <row r="173" spans="1:9" x14ac:dyDescent="0.25">
      <c r="A173" s="14" t="e">
        <f ca="1"/>
        <v>#N/A</v>
      </c>
      <c r="B173" s="3" t="e">
        <f ca="1"/>
        <v>#N/A</v>
      </c>
      <c r="C173" s="6" t="e">
        <f ca="1"/>
        <v>#N/A</v>
      </c>
      <c r="D173" s="15" t="e">
        <f ca="1"/>
        <v>#N/A</v>
      </c>
      <c r="E173" s="15" t="e">
        <f ca="1"/>
        <v>#N/A</v>
      </c>
      <c r="F173" s="15" t="e">
        <f ca="1"/>
        <v>#N/A</v>
      </c>
      <c r="G173" s="5" t="e">
        <f ca="1"/>
        <v>#N/A</v>
      </c>
      <c r="H173" s="103" t="e">
        <f t="shared" ca="1" si="7"/>
        <v>#N/A</v>
      </c>
      <c r="I173" s="161" t="e">
        <f t="shared" ca="1" si="8"/>
        <v>#N/A</v>
      </c>
    </row>
    <row r="174" spans="1:9" x14ac:dyDescent="0.25">
      <c r="A174" s="14" t="e">
        <f ca="1"/>
        <v>#N/A</v>
      </c>
      <c r="B174" s="3" t="e">
        <f ca="1"/>
        <v>#N/A</v>
      </c>
      <c r="C174" s="6" t="e">
        <f ca="1"/>
        <v>#N/A</v>
      </c>
      <c r="D174" s="15" t="e">
        <f ca="1"/>
        <v>#N/A</v>
      </c>
      <c r="E174" s="15" t="e">
        <f ca="1"/>
        <v>#N/A</v>
      </c>
      <c r="F174" s="15" t="e">
        <f ca="1"/>
        <v>#N/A</v>
      </c>
      <c r="G174" s="5" t="e">
        <f ca="1"/>
        <v>#N/A</v>
      </c>
      <c r="H174" s="103" t="e">
        <f t="shared" ca="1" si="7"/>
        <v>#N/A</v>
      </c>
      <c r="I174" s="161" t="e">
        <f t="shared" ca="1" si="8"/>
        <v>#N/A</v>
      </c>
    </row>
    <row r="175" spans="1:9" x14ac:dyDescent="0.25">
      <c r="A175" s="14" t="e">
        <f ca="1"/>
        <v>#N/A</v>
      </c>
      <c r="B175" s="3" t="e">
        <f ca="1"/>
        <v>#N/A</v>
      </c>
      <c r="C175" s="6" t="e">
        <f ca="1"/>
        <v>#N/A</v>
      </c>
      <c r="D175" s="15" t="e">
        <f ca="1"/>
        <v>#N/A</v>
      </c>
      <c r="E175" s="15" t="e">
        <f ca="1"/>
        <v>#N/A</v>
      </c>
      <c r="F175" s="15" t="e">
        <f ca="1"/>
        <v>#N/A</v>
      </c>
      <c r="G175" s="5" t="e">
        <f ca="1"/>
        <v>#N/A</v>
      </c>
      <c r="H175" s="103" t="e">
        <f t="shared" ca="1" si="7"/>
        <v>#N/A</v>
      </c>
      <c r="I175" s="161" t="e">
        <f t="shared" ca="1" si="8"/>
        <v>#N/A</v>
      </c>
    </row>
    <row r="176" spans="1:9" x14ac:dyDescent="0.25">
      <c r="A176" s="14" t="e">
        <f ca="1"/>
        <v>#N/A</v>
      </c>
      <c r="B176" s="3" t="e">
        <f ca="1"/>
        <v>#N/A</v>
      </c>
      <c r="C176" s="6" t="e">
        <f ca="1"/>
        <v>#N/A</v>
      </c>
      <c r="D176" s="15" t="e">
        <f ca="1"/>
        <v>#N/A</v>
      </c>
      <c r="E176" s="15" t="e">
        <f ca="1"/>
        <v>#N/A</v>
      </c>
      <c r="F176" s="15" t="e">
        <f ca="1"/>
        <v>#N/A</v>
      </c>
      <c r="G176" s="5" t="e">
        <f ca="1"/>
        <v>#N/A</v>
      </c>
      <c r="H176" s="103" t="e">
        <f t="shared" ca="1" si="7"/>
        <v>#N/A</v>
      </c>
      <c r="I176" s="161" t="e">
        <f t="shared" ca="1" si="8"/>
        <v>#N/A</v>
      </c>
    </row>
    <row r="177" spans="1:9" x14ac:dyDescent="0.25">
      <c r="A177" s="14" t="e">
        <f ca="1"/>
        <v>#N/A</v>
      </c>
      <c r="B177" s="3" t="e">
        <f ca="1"/>
        <v>#N/A</v>
      </c>
      <c r="C177" s="6" t="e">
        <f ca="1"/>
        <v>#N/A</v>
      </c>
      <c r="D177" s="15" t="e">
        <f ca="1"/>
        <v>#N/A</v>
      </c>
      <c r="E177" s="15" t="e">
        <f ca="1"/>
        <v>#N/A</v>
      </c>
      <c r="F177" s="15" t="e">
        <f ca="1"/>
        <v>#N/A</v>
      </c>
      <c r="G177" s="5" t="e">
        <f ca="1"/>
        <v>#N/A</v>
      </c>
      <c r="H177" s="103" t="e">
        <f t="shared" ca="1" si="7"/>
        <v>#N/A</v>
      </c>
      <c r="I177" s="161" t="e">
        <f t="shared" ca="1" si="8"/>
        <v>#N/A</v>
      </c>
    </row>
    <row r="178" spans="1:9" x14ac:dyDescent="0.25">
      <c r="A178" s="14" t="e">
        <f ca="1"/>
        <v>#N/A</v>
      </c>
      <c r="B178" s="3" t="e">
        <f ca="1"/>
        <v>#N/A</v>
      </c>
      <c r="C178" s="6" t="e">
        <f ca="1"/>
        <v>#N/A</v>
      </c>
      <c r="D178" s="15" t="e">
        <f ca="1"/>
        <v>#N/A</v>
      </c>
      <c r="E178" s="15" t="e">
        <f ca="1"/>
        <v>#N/A</v>
      </c>
      <c r="F178" s="15" t="e">
        <f ca="1"/>
        <v>#N/A</v>
      </c>
      <c r="G178" s="5" t="e">
        <f ca="1"/>
        <v>#N/A</v>
      </c>
      <c r="H178" s="103" t="e">
        <f t="shared" ca="1" si="7"/>
        <v>#N/A</v>
      </c>
      <c r="I178" s="161" t="e">
        <f t="shared" ca="1" si="8"/>
        <v>#N/A</v>
      </c>
    </row>
    <row r="179" spans="1:9" x14ac:dyDescent="0.25">
      <c r="A179" s="14" t="e">
        <f ca="1"/>
        <v>#N/A</v>
      </c>
      <c r="B179" s="3" t="e">
        <f ca="1"/>
        <v>#N/A</v>
      </c>
      <c r="C179" s="6" t="e">
        <f ca="1"/>
        <v>#N/A</v>
      </c>
      <c r="D179" s="15" t="e">
        <f ca="1"/>
        <v>#N/A</v>
      </c>
      <c r="E179" s="15" t="e">
        <f ca="1"/>
        <v>#N/A</v>
      </c>
      <c r="F179" s="15" t="e">
        <f ca="1"/>
        <v>#N/A</v>
      </c>
      <c r="G179" s="5" t="e">
        <f ca="1"/>
        <v>#N/A</v>
      </c>
      <c r="H179" s="103" t="e">
        <f t="shared" ca="1" si="7"/>
        <v>#N/A</v>
      </c>
      <c r="I179" s="161" t="e">
        <f t="shared" ca="1" si="8"/>
        <v>#N/A</v>
      </c>
    </row>
    <row r="180" spans="1:9" x14ac:dyDescent="0.25">
      <c r="A180" s="14" t="e">
        <f ca="1"/>
        <v>#N/A</v>
      </c>
      <c r="B180" s="3" t="e">
        <f ca="1"/>
        <v>#N/A</v>
      </c>
      <c r="C180" s="6" t="e">
        <f ca="1"/>
        <v>#N/A</v>
      </c>
      <c r="D180" s="15" t="e">
        <f ca="1"/>
        <v>#N/A</v>
      </c>
      <c r="E180" s="15" t="e">
        <f ca="1"/>
        <v>#N/A</v>
      </c>
      <c r="F180" s="15" t="e">
        <f ca="1"/>
        <v>#N/A</v>
      </c>
      <c r="G180" s="5" t="e">
        <f ca="1"/>
        <v>#N/A</v>
      </c>
      <c r="H180" s="103" t="e">
        <f t="shared" ca="1" si="7"/>
        <v>#N/A</v>
      </c>
      <c r="I180" s="161" t="e">
        <f t="shared" ca="1" si="8"/>
        <v>#N/A</v>
      </c>
    </row>
    <row r="181" spans="1:9" x14ac:dyDescent="0.25">
      <c r="A181" s="14" t="e">
        <f ca="1"/>
        <v>#N/A</v>
      </c>
      <c r="B181" s="3" t="e">
        <f ca="1"/>
        <v>#N/A</v>
      </c>
      <c r="C181" s="6" t="e">
        <f ca="1"/>
        <v>#N/A</v>
      </c>
      <c r="D181" s="15" t="e">
        <f ca="1"/>
        <v>#N/A</v>
      </c>
      <c r="E181" s="15" t="e">
        <f ca="1"/>
        <v>#N/A</v>
      </c>
      <c r="F181" s="15" t="e">
        <f ca="1"/>
        <v>#N/A</v>
      </c>
      <c r="G181" s="5" t="e">
        <f ca="1"/>
        <v>#N/A</v>
      </c>
      <c r="H181" s="103" t="e">
        <f t="shared" ca="1" si="7"/>
        <v>#N/A</v>
      </c>
      <c r="I181" s="161" t="e">
        <f t="shared" ca="1" si="8"/>
        <v>#N/A</v>
      </c>
    </row>
    <row r="182" spans="1:9" x14ac:dyDescent="0.25">
      <c r="A182" s="14" t="e">
        <f ca="1"/>
        <v>#N/A</v>
      </c>
      <c r="B182" s="3" t="e">
        <f ca="1"/>
        <v>#N/A</v>
      </c>
      <c r="C182" s="6" t="e">
        <f ca="1"/>
        <v>#N/A</v>
      </c>
      <c r="D182" s="15" t="e">
        <f ca="1"/>
        <v>#N/A</v>
      </c>
      <c r="E182" s="15" t="e">
        <f ca="1"/>
        <v>#N/A</v>
      </c>
      <c r="F182" s="15" t="e">
        <f ca="1"/>
        <v>#N/A</v>
      </c>
      <c r="G182" s="5" t="e">
        <f ca="1"/>
        <v>#N/A</v>
      </c>
      <c r="H182" s="103" t="e">
        <f t="shared" ca="1" si="7"/>
        <v>#N/A</v>
      </c>
      <c r="I182" s="161" t="e">
        <f t="shared" ca="1" si="8"/>
        <v>#N/A</v>
      </c>
    </row>
    <row r="183" spans="1:9" x14ac:dyDescent="0.25">
      <c r="A183" s="14" t="e">
        <f ca="1"/>
        <v>#N/A</v>
      </c>
      <c r="B183" s="3" t="e">
        <f ca="1"/>
        <v>#N/A</v>
      </c>
      <c r="C183" s="6" t="e">
        <f ca="1"/>
        <v>#N/A</v>
      </c>
      <c r="D183" s="15" t="e">
        <f ca="1"/>
        <v>#N/A</v>
      </c>
      <c r="E183" s="15" t="e">
        <f ca="1"/>
        <v>#N/A</v>
      </c>
      <c r="F183" s="15" t="e">
        <f ca="1"/>
        <v>#N/A</v>
      </c>
      <c r="G183" s="5" t="e">
        <f ca="1"/>
        <v>#N/A</v>
      </c>
      <c r="H183" s="103" t="e">
        <f t="shared" ca="1" si="7"/>
        <v>#N/A</v>
      </c>
      <c r="I183" s="161" t="e">
        <f t="shared" ca="1" si="8"/>
        <v>#N/A</v>
      </c>
    </row>
    <row r="184" spans="1:9" x14ac:dyDescent="0.25">
      <c r="A184" s="14" t="e">
        <f ca="1"/>
        <v>#N/A</v>
      </c>
      <c r="B184" s="3" t="e">
        <f ca="1"/>
        <v>#N/A</v>
      </c>
      <c r="C184" s="6" t="e">
        <f ca="1"/>
        <v>#N/A</v>
      </c>
      <c r="D184" s="15" t="e">
        <f ca="1"/>
        <v>#N/A</v>
      </c>
      <c r="E184" s="15" t="e">
        <f ca="1"/>
        <v>#N/A</v>
      </c>
      <c r="F184" s="15" t="e">
        <f ca="1"/>
        <v>#N/A</v>
      </c>
      <c r="G184" s="5" t="e">
        <f ca="1"/>
        <v>#N/A</v>
      </c>
      <c r="H184" s="103" t="e">
        <f t="shared" ca="1" si="7"/>
        <v>#N/A</v>
      </c>
      <c r="I184" s="161" t="e">
        <f t="shared" ca="1" si="8"/>
        <v>#N/A</v>
      </c>
    </row>
    <row r="185" spans="1:9" x14ac:dyDescent="0.25">
      <c r="A185" s="14" t="e">
        <f ca="1"/>
        <v>#N/A</v>
      </c>
      <c r="B185" s="3" t="e">
        <f ca="1"/>
        <v>#N/A</v>
      </c>
      <c r="C185" s="6" t="e">
        <f ca="1"/>
        <v>#N/A</v>
      </c>
      <c r="D185" s="15" t="e">
        <f ca="1"/>
        <v>#N/A</v>
      </c>
      <c r="E185" s="15" t="e">
        <f ca="1"/>
        <v>#N/A</v>
      </c>
      <c r="F185" s="15" t="e">
        <f ca="1"/>
        <v>#N/A</v>
      </c>
      <c r="G185" s="5" t="e">
        <f ca="1"/>
        <v>#N/A</v>
      </c>
      <c r="H185" s="103" t="e">
        <f t="shared" ca="1" si="7"/>
        <v>#N/A</v>
      </c>
      <c r="I185" s="161" t="e">
        <f t="shared" ca="1" si="8"/>
        <v>#N/A</v>
      </c>
    </row>
    <row r="186" spans="1:9" x14ac:dyDescent="0.25">
      <c r="A186" s="14" t="e">
        <f ca="1"/>
        <v>#N/A</v>
      </c>
      <c r="B186" s="3" t="e">
        <f ca="1"/>
        <v>#N/A</v>
      </c>
      <c r="C186" s="6" t="e">
        <f ca="1"/>
        <v>#N/A</v>
      </c>
      <c r="D186" s="15" t="e">
        <f ca="1"/>
        <v>#N/A</v>
      </c>
      <c r="E186" s="15" t="e">
        <f ca="1"/>
        <v>#N/A</v>
      </c>
      <c r="F186" s="15" t="e">
        <f ca="1"/>
        <v>#N/A</v>
      </c>
      <c r="G186" s="5" t="e">
        <f ca="1"/>
        <v>#N/A</v>
      </c>
      <c r="H186" s="103" t="e">
        <f t="shared" ca="1" si="7"/>
        <v>#N/A</v>
      </c>
      <c r="I186" s="161" t="e">
        <f t="shared" ca="1" si="8"/>
        <v>#N/A</v>
      </c>
    </row>
    <row r="187" spans="1:9" x14ac:dyDescent="0.25">
      <c r="A187" s="14" t="e">
        <f ca="1"/>
        <v>#N/A</v>
      </c>
      <c r="B187" s="3" t="e">
        <f ca="1"/>
        <v>#N/A</v>
      </c>
      <c r="C187" s="6" t="e">
        <f ca="1"/>
        <v>#N/A</v>
      </c>
      <c r="D187" s="15" t="e">
        <f ca="1"/>
        <v>#N/A</v>
      </c>
      <c r="E187" s="15" t="e">
        <f ca="1"/>
        <v>#N/A</v>
      </c>
      <c r="F187" s="15" t="e">
        <f ca="1"/>
        <v>#N/A</v>
      </c>
      <c r="G187" s="5" t="e">
        <f ca="1"/>
        <v>#N/A</v>
      </c>
      <c r="H187" s="103" t="e">
        <f t="shared" ca="1" si="7"/>
        <v>#N/A</v>
      </c>
      <c r="I187" s="161" t="e">
        <f t="shared" ca="1" si="8"/>
        <v>#N/A</v>
      </c>
    </row>
    <row r="188" spans="1:9" x14ac:dyDescent="0.25">
      <c r="A188" s="14" t="e">
        <f ca="1"/>
        <v>#N/A</v>
      </c>
      <c r="B188" s="3" t="e">
        <f ca="1"/>
        <v>#N/A</v>
      </c>
      <c r="C188" s="6" t="e">
        <f ca="1"/>
        <v>#N/A</v>
      </c>
      <c r="D188" s="15" t="e">
        <f ca="1"/>
        <v>#N/A</v>
      </c>
      <c r="E188" s="15" t="e">
        <f ca="1"/>
        <v>#N/A</v>
      </c>
      <c r="F188" s="15" t="e">
        <f ca="1"/>
        <v>#N/A</v>
      </c>
      <c r="G188" s="5" t="e">
        <f ca="1"/>
        <v>#N/A</v>
      </c>
      <c r="H188" s="103" t="e">
        <f t="shared" ca="1" si="7"/>
        <v>#N/A</v>
      </c>
      <c r="I188" s="161" t="e">
        <f t="shared" ca="1" si="8"/>
        <v>#N/A</v>
      </c>
    </row>
    <row r="189" spans="1:9" x14ac:dyDescent="0.25">
      <c r="A189" s="14" t="e">
        <f ca="1"/>
        <v>#N/A</v>
      </c>
      <c r="B189" s="3" t="e">
        <f ca="1"/>
        <v>#N/A</v>
      </c>
      <c r="C189" s="6" t="e">
        <f ca="1"/>
        <v>#N/A</v>
      </c>
      <c r="D189" s="15" t="e">
        <f ca="1"/>
        <v>#N/A</v>
      </c>
      <c r="E189" s="15" t="e">
        <f ca="1"/>
        <v>#N/A</v>
      </c>
      <c r="F189" s="15" t="e">
        <f ca="1"/>
        <v>#N/A</v>
      </c>
      <c r="G189" s="5" t="e">
        <f ca="1"/>
        <v>#N/A</v>
      </c>
      <c r="H189" s="103" t="e">
        <f t="shared" ca="1" si="7"/>
        <v>#N/A</v>
      </c>
      <c r="I189" s="161" t="e">
        <f t="shared" ca="1" si="8"/>
        <v>#N/A</v>
      </c>
    </row>
    <row r="190" spans="1:9" x14ac:dyDescent="0.25">
      <c r="A190" s="14" t="e">
        <f ca="1"/>
        <v>#N/A</v>
      </c>
      <c r="B190" s="3" t="e">
        <f ca="1"/>
        <v>#N/A</v>
      </c>
      <c r="C190" s="6" t="e">
        <f ca="1"/>
        <v>#N/A</v>
      </c>
      <c r="D190" s="15" t="e">
        <f ca="1"/>
        <v>#N/A</v>
      </c>
      <c r="E190" s="15" t="e">
        <f ca="1"/>
        <v>#N/A</v>
      </c>
      <c r="F190" s="15" t="e">
        <f ca="1"/>
        <v>#N/A</v>
      </c>
      <c r="G190" s="5" t="e">
        <f ca="1"/>
        <v>#N/A</v>
      </c>
      <c r="H190" s="103" t="e">
        <f t="shared" ca="1" si="7"/>
        <v>#N/A</v>
      </c>
      <c r="I190" s="161" t="e">
        <f t="shared" ca="1" si="8"/>
        <v>#N/A</v>
      </c>
    </row>
    <row r="191" spans="1:9" x14ac:dyDescent="0.25">
      <c r="A191" s="14" t="e">
        <f ca="1"/>
        <v>#N/A</v>
      </c>
      <c r="B191" s="3" t="e">
        <f ca="1"/>
        <v>#N/A</v>
      </c>
      <c r="C191" s="6" t="e">
        <f ca="1"/>
        <v>#N/A</v>
      </c>
      <c r="D191" s="15" t="e">
        <f ca="1"/>
        <v>#N/A</v>
      </c>
      <c r="E191" s="15" t="e">
        <f ca="1"/>
        <v>#N/A</v>
      </c>
      <c r="F191" s="15" t="e">
        <f ca="1"/>
        <v>#N/A</v>
      </c>
      <c r="G191" s="5" t="e">
        <f ca="1"/>
        <v>#N/A</v>
      </c>
      <c r="H191" s="103" t="e">
        <f t="shared" ca="1" si="7"/>
        <v>#N/A</v>
      </c>
      <c r="I191" s="161" t="e">
        <f t="shared" ca="1" si="8"/>
        <v>#N/A</v>
      </c>
    </row>
    <row r="192" spans="1:9" x14ac:dyDescent="0.25">
      <c r="A192" s="14" t="e">
        <f ca="1"/>
        <v>#N/A</v>
      </c>
      <c r="B192" s="3" t="e">
        <f ca="1"/>
        <v>#N/A</v>
      </c>
      <c r="C192" s="6" t="e">
        <f ca="1"/>
        <v>#N/A</v>
      </c>
      <c r="D192" s="15" t="e">
        <f ca="1"/>
        <v>#N/A</v>
      </c>
      <c r="E192" s="15" t="e">
        <f ca="1"/>
        <v>#N/A</v>
      </c>
      <c r="F192" s="15" t="e">
        <f ca="1"/>
        <v>#N/A</v>
      </c>
      <c r="G192" s="5" t="e">
        <f ca="1"/>
        <v>#N/A</v>
      </c>
      <c r="H192" s="103" t="e">
        <f t="shared" ca="1" si="7"/>
        <v>#N/A</v>
      </c>
      <c r="I192" s="161" t="e">
        <f t="shared" ca="1" si="8"/>
        <v>#N/A</v>
      </c>
    </row>
    <row r="193" spans="1:9" x14ac:dyDescent="0.25">
      <c r="A193" s="14" t="e">
        <f ca="1"/>
        <v>#N/A</v>
      </c>
      <c r="B193" s="3" t="e">
        <f ca="1"/>
        <v>#N/A</v>
      </c>
      <c r="C193" s="6" t="e">
        <f ca="1"/>
        <v>#N/A</v>
      </c>
      <c r="D193" s="15" t="e">
        <f ca="1"/>
        <v>#N/A</v>
      </c>
      <c r="E193" s="15" t="e">
        <f ca="1"/>
        <v>#N/A</v>
      </c>
      <c r="F193" s="15" t="e">
        <f ca="1"/>
        <v>#N/A</v>
      </c>
      <c r="G193" s="5" t="e">
        <f ca="1"/>
        <v>#N/A</v>
      </c>
      <c r="H193" s="103" t="e">
        <f t="shared" ca="1" si="7"/>
        <v>#N/A</v>
      </c>
      <c r="I193" s="161" t="e">
        <f t="shared" ca="1" si="8"/>
        <v>#N/A</v>
      </c>
    </row>
    <row r="194" spans="1:9" x14ac:dyDescent="0.25">
      <c r="A194" s="14" t="e">
        <f ca="1"/>
        <v>#N/A</v>
      </c>
      <c r="B194" s="3" t="e">
        <f ca="1"/>
        <v>#N/A</v>
      </c>
      <c r="C194" s="6" t="e">
        <f ca="1"/>
        <v>#N/A</v>
      </c>
      <c r="D194" s="15" t="e">
        <f ca="1"/>
        <v>#N/A</v>
      </c>
      <c r="E194" s="15" t="e">
        <f ca="1"/>
        <v>#N/A</v>
      </c>
      <c r="F194" s="15" t="e">
        <f ca="1"/>
        <v>#N/A</v>
      </c>
      <c r="G194" s="5" t="e">
        <f ca="1"/>
        <v>#N/A</v>
      </c>
      <c r="H194" s="103" t="e">
        <f t="shared" ca="1" si="7"/>
        <v>#N/A</v>
      </c>
      <c r="I194" s="161" t="e">
        <f t="shared" ref="I194:I200" ca="1" si="9">H194*BTCPriceEUR</f>
        <v>#N/A</v>
      </c>
    </row>
    <row r="195" spans="1:9" x14ac:dyDescent="0.25">
      <c r="A195" s="14" t="e">
        <f ca="1"/>
        <v>#N/A</v>
      </c>
      <c r="B195" s="3" t="e">
        <f ca="1"/>
        <v>#N/A</v>
      </c>
      <c r="C195" s="6" t="e">
        <f ca="1"/>
        <v>#N/A</v>
      </c>
      <c r="D195" s="15" t="e">
        <f ca="1"/>
        <v>#N/A</v>
      </c>
      <c r="E195" s="15" t="e">
        <f ca="1"/>
        <v>#N/A</v>
      </c>
      <c r="F195" s="15" t="e">
        <f ca="1"/>
        <v>#N/A</v>
      </c>
      <c r="G195" s="5" t="e">
        <f ca="1"/>
        <v>#N/A</v>
      </c>
      <c r="H195" s="103" t="e">
        <f t="shared" ref="H195:H200" ca="1" si="10">F195+G195</f>
        <v>#N/A</v>
      </c>
      <c r="I195" s="161" t="e">
        <f t="shared" ca="1" si="9"/>
        <v>#N/A</v>
      </c>
    </row>
    <row r="196" spans="1:9" x14ac:dyDescent="0.25">
      <c r="A196" s="14" t="e">
        <f ca="1"/>
        <v>#N/A</v>
      </c>
      <c r="B196" s="3" t="e">
        <f ca="1"/>
        <v>#N/A</v>
      </c>
      <c r="C196" s="6" t="e">
        <f ca="1"/>
        <v>#N/A</v>
      </c>
      <c r="D196" s="15" t="e">
        <f ca="1"/>
        <v>#N/A</v>
      </c>
      <c r="E196" s="15" t="e">
        <f ca="1"/>
        <v>#N/A</v>
      </c>
      <c r="F196" s="15" t="e">
        <f ca="1"/>
        <v>#N/A</v>
      </c>
      <c r="G196" s="5" t="e">
        <f ca="1"/>
        <v>#N/A</v>
      </c>
      <c r="H196" s="103" t="e">
        <f t="shared" ca="1" si="10"/>
        <v>#N/A</v>
      </c>
      <c r="I196" s="161" t="e">
        <f t="shared" ca="1" si="9"/>
        <v>#N/A</v>
      </c>
    </row>
    <row r="197" spans="1:9" x14ac:dyDescent="0.25">
      <c r="A197" s="14" t="e">
        <f ca="1"/>
        <v>#N/A</v>
      </c>
      <c r="B197" s="3" t="e">
        <f ca="1"/>
        <v>#N/A</v>
      </c>
      <c r="C197" s="6" t="e">
        <f ca="1"/>
        <v>#N/A</v>
      </c>
      <c r="D197" s="15" t="e">
        <f ca="1"/>
        <v>#N/A</v>
      </c>
      <c r="E197" s="15" t="e">
        <f ca="1"/>
        <v>#N/A</v>
      </c>
      <c r="F197" s="15" t="e">
        <f ca="1"/>
        <v>#N/A</v>
      </c>
      <c r="G197" s="5" t="e">
        <f ca="1"/>
        <v>#N/A</v>
      </c>
      <c r="H197" s="103" t="e">
        <f t="shared" ca="1" si="10"/>
        <v>#N/A</v>
      </c>
      <c r="I197" s="161" t="e">
        <f t="shared" ca="1" si="9"/>
        <v>#N/A</v>
      </c>
    </row>
    <row r="198" spans="1:9" x14ac:dyDescent="0.25">
      <c r="A198" s="14" t="e">
        <f ca="1"/>
        <v>#N/A</v>
      </c>
      <c r="B198" s="3" t="e">
        <f ca="1"/>
        <v>#N/A</v>
      </c>
      <c r="C198" s="6" t="e">
        <f ca="1"/>
        <v>#N/A</v>
      </c>
      <c r="D198" s="15" t="e">
        <f ca="1"/>
        <v>#N/A</v>
      </c>
      <c r="E198" s="15" t="e">
        <f ca="1"/>
        <v>#N/A</v>
      </c>
      <c r="F198" s="15" t="e">
        <f ca="1"/>
        <v>#N/A</v>
      </c>
      <c r="G198" s="5" t="e">
        <f ca="1"/>
        <v>#N/A</v>
      </c>
      <c r="H198" s="103" t="e">
        <f t="shared" ca="1" si="10"/>
        <v>#N/A</v>
      </c>
      <c r="I198" s="161" t="e">
        <f t="shared" ca="1" si="9"/>
        <v>#N/A</v>
      </c>
    </row>
    <row r="199" spans="1:9" x14ac:dyDescent="0.25">
      <c r="A199" s="14" t="e">
        <f ca="1"/>
        <v>#N/A</v>
      </c>
      <c r="B199" s="3" t="e">
        <f ca="1"/>
        <v>#N/A</v>
      </c>
      <c r="C199" s="6" t="e">
        <f ca="1"/>
        <v>#N/A</v>
      </c>
      <c r="D199" s="15" t="e">
        <f ca="1"/>
        <v>#N/A</v>
      </c>
      <c r="E199" s="15" t="e">
        <f ca="1"/>
        <v>#N/A</v>
      </c>
      <c r="F199" s="15" t="e">
        <f ca="1"/>
        <v>#N/A</v>
      </c>
      <c r="G199" s="5" t="e">
        <f ca="1"/>
        <v>#N/A</v>
      </c>
      <c r="H199" s="103" t="e">
        <f t="shared" ca="1" si="10"/>
        <v>#N/A</v>
      </c>
      <c r="I199" s="161" t="e">
        <f t="shared" ca="1" si="9"/>
        <v>#N/A</v>
      </c>
    </row>
    <row r="200" spans="1:9" ht="15.75" thickBot="1" x14ac:dyDescent="0.3">
      <c r="A200" s="16" t="e">
        <f ca="1"/>
        <v>#N/A</v>
      </c>
      <c r="B200" s="17" t="e">
        <f ca="1"/>
        <v>#N/A</v>
      </c>
      <c r="C200" s="25" t="e">
        <f ca="1"/>
        <v>#N/A</v>
      </c>
      <c r="D200" s="18" t="e">
        <f ca="1"/>
        <v>#N/A</v>
      </c>
      <c r="E200" s="18" t="e">
        <f ca="1"/>
        <v>#N/A</v>
      </c>
      <c r="F200" s="18" t="e">
        <f ca="1"/>
        <v>#N/A</v>
      </c>
      <c r="G200" s="19" t="e">
        <f ca="1"/>
        <v>#N/A</v>
      </c>
      <c r="H200" s="104" t="e">
        <f t="shared" ca="1" si="10"/>
        <v>#N/A</v>
      </c>
      <c r="I200" s="161" t="e">
        <f t="shared" ca="1" si="9"/>
        <v>#N/A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I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5.85546875" bestFit="1" customWidth="1"/>
    <col min="8" max="8" width="13.7109375" bestFit="1" customWidth="1"/>
  </cols>
  <sheetData>
    <row r="1" spans="1:9" x14ac:dyDescent="0.25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  <c r="H1" s="120" t="e">
        <f>VLOOKUP(B1,Portfolio!H:I,2,FALSE)</f>
        <v>#VALUE!</v>
      </c>
      <c r="I1" s="117" t="e">
        <f>E1/H1-1</f>
        <v>#VALUE!</v>
      </c>
    </row>
    <row r="2" spans="1:9" x14ac:dyDescent="0.25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H2" s="121" t="e">
        <f>VLOOKUP(B2,Portfolio!H:I,2,FALSE)</f>
        <v>#VALUE!</v>
      </c>
      <c r="I2" s="118" t="e">
        <f t="shared" ref="I2:I6" si="0">E2/H2-1</f>
        <v>#VALUE!</v>
      </c>
    </row>
    <row r="3" spans="1:9" x14ac:dyDescent="0.25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H3" s="121" t="e">
        <f>VLOOKUP(B3,Portfolio!H:I,2,FALSE)</f>
        <v>#VALUE!</v>
      </c>
      <c r="I3" s="118" t="e">
        <f t="shared" si="0"/>
        <v>#VALUE!</v>
      </c>
    </row>
    <row r="4" spans="1:9" x14ac:dyDescent="0.25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H4" s="121" t="e">
        <f>VLOOKUP(B4,Portfolio!H:I,2,FALSE)</f>
        <v>#VALUE!</v>
      </c>
      <c r="I4" s="118" t="e">
        <f t="shared" si="0"/>
        <v>#VALUE!</v>
      </c>
    </row>
    <row r="5" spans="1:9" x14ac:dyDescent="0.25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  <c r="H5" s="121" t="e">
        <f>VLOOKUP(B5,Portfolio!H:I,2,FALSE)</f>
        <v>#VALUE!</v>
      </c>
      <c r="I5" s="118" t="e">
        <f t="shared" si="0"/>
        <v>#VALUE!</v>
      </c>
    </row>
    <row r="6" spans="1:9" x14ac:dyDescent="0.25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  <c r="H6" s="121" t="e">
        <f>VLOOKUP(B6,Portfolio!H:I,2,FALSE)</f>
        <v>#VALUE!</v>
      </c>
      <c r="I6" s="118" t="e">
        <f t="shared" si="0"/>
        <v>#VALUE!</v>
      </c>
    </row>
    <row r="7" spans="1:9" ht="15.75" thickBot="1" x14ac:dyDescent="0.3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  <c r="H7" s="122" t="e">
        <f>VLOOKUP(B7,Portfolio!H:I,2,FALSE)</f>
        <v>#VALUE!</v>
      </c>
      <c r="I7" s="119" t="e">
        <f t="shared" ref="I7" si="1">E7/H7-1</f>
        <v>#VALUE!</v>
      </c>
    </row>
  </sheetData>
  <conditionalFormatting sqref="I1:I6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Portfolio</vt:lpstr>
      <vt:lpstr>Balances</vt:lpstr>
      <vt:lpstr>Prices</vt:lpstr>
      <vt:lpstr>Trades</vt:lpstr>
      <vt:lpstr>Orders</vt:lpstr>
      <vt:lpstr>BalancesRange</vt:lpstr>
      <vt:lpstr>BTCBase</vt:lpstr>
      <vt:lpstr>BTCBaseUSD</vt:lpstr>
      <vt:lpstr>BTCPrice</vt:lpstr>
      <vt:lpstr>BTCPriceEUR</vt:lpstr>
      <vt:lpstr>BuyTarget</vt:lpstr>
      <vt:lpstr>ForexRange</vt:lpstr>
      <vt:lpstr>GBPPrice</vt:lpstr>
      <vt:lpstr>MarketFee</vt:lpstr>
      <vt:lpstr>PricesRange</vt:lpstr>
      <vt:lpstr>RUBPrice</vt:lpstr>
      <vt:lpstr>SellTarget</vt:lpstr>
      <vt:lpstr>StopLoss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Yuri Bobrov</cp:lastModifiedBy>
  <cp:revision/>
  <cp:lastPrinted>2020-08-14T09:58:39Z</cp:lastPrinted>
  <dcterms:created xsi:type="dcterms:W3CDTF">2020-03-13T09:25:13Z</dcterms:created>
  <dcterms:modified xsi:type="dcterms:W3CDTF">2020-11-26T15:16:41Z</dcterms:modified>
  <cp:category/>
  <cp:contentStatus/>
</cp:coreProperties>
</file>