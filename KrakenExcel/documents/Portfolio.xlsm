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obrov\source\repos\Kraken\KrakenExcel\documents\"/>
    </mc:Choice>
  </mc:AlternateContent>
  <bookViews>
    <workbookView xWindow="-105" yWindow="-105" windowWidth="23250" windowHeight="12570"/>
  </bookViews>
  <sheets>
    <sheet name="Portfolio" sheetId="3" r:id="rId1"/>
    <sheet name="Balances" sheetId="7" r:id="rId2"/>
    <sheet name="Prices" sheetId="8" r:id="rId3"/>
    <sheet name="Trades" sheetId="6" r:id="rId4"/>
    <sheet name="Orders" sheetId="11" r:id="rId5"/>
    <sheet name="RUB Vault" sheetId="10" r:id="rId6"/>
  </sheets>
  <definedNames>
    <definedName name="_xlnm._FilterDatabase" localSheetId="3" hidden="1">Trades!$A$1:$G$1</definedName>
    <definedName name="BalancesRange">Balances!$A:$B</definedName>
    <definedName name="BASE">#REF!</definedName>
    <definedName name="BTC">#REF!</definedName>
    <definedName name="BTCPrice">Portfolio!$H$9</definedName>
    <definedName name="BTCPrice1">Portfolio!#REF!</definedName>
    <definedName name="BTCStart">Portfolio!$S$9</definedName>
    <definedName name="BuyTarget">Portfolio!$M$9</definedName>
    <definedName name="Commission">Portfolio!#REF!</definedName>
    <definedName name="EURPrice">Portfolio!$F$5</definedName>
    <definedName name="GBPPrice">Portfolio!$F$2</definedName>
    <definedName name="MarketFee">Portfolio!$K$8</definedName>
    <definedName name="OrdersRange">#REF!</definedName>
    <definedName name="PRC">#REF!</definedName>
    <definedName name="PricesRange">Prices!$A:$C</definedName>
    <definedName name="RUBPrice">Portfolio!$F$3</definedName>
    <definedName name="RUNPrice">Portfolio!#REF!</definedName>
    <definedName name="SellTarget">Portfolio!$N$9</definedName>
    <definedName name="StopLossPrc">Portfolio!#REF!</definedName>
    <definedName name="TakeProfit">Portfolio!#REF!</definedName>
    <definedName name="TradeDate">Portfolio!$A$1</definedName>
    <definedName name="TradesRange">Trades!$A$2:$G$200</definedName>
    <definedName name="USD">#REF!</definedName>
    <definedName name="USDPrice">Portfolio!$F$4</definedName>
    <definedName name="XBTBasePrice">Portfolio!#REF!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 a="1"/>
  <c r="A1" i="8" a="1"/>
  <c r="A1" i="7" a="1"/>
  <c r="C3" i="3" l="1"/>
  <c r="D17" i="3"/>
  <c r="D11" i="3" s="1"/>
  <c r="D15" i="3"/>
  <c r="W11" i="3"/>
  <c r="W10" i="3"/>
  <c r="A1" i="11" a="1"/>
  <c r="B1" i="8"/>
  <c r="C22" i="8"/>
  <c r="A44" i="8"/>
  <c r="B65" i="8"/>
  <c r="C86" i="8"/>
  <c r="A7" i="8"/>
  <c r="B28" i="8"/>
  <c r="C49" i="8"/>
  <c r="A71" i="8"/>
  <c r="B92" i="8"/>
  <c r="C12" i="8"/>
  <c r="C10" i="8"/>
  <c r="A32" i="8"/>
  <c r="B53" i="8"/>
  <c r="C74" i="8"/>
  <c r="A96" i="8"/>
  <c r="A33" i="8"/>
  <c r="B67" i="8"/>
  <c r="B55" i="8"/>
  <c r="C68" i="8"/>
  <c r="C60" i="8"/>
  <c r="B14" i="8"/>
  <c r="A51" i="8"/>
  <c r="C64" i="8"/>
  <c r="A61" i="8"/>
  <c r="C35" i="8"/>
  <c r="C7" i="8"/>
  <c r="B83" i="8"/>
  <c r="A54" i="8"/>
  <c r="A21" i="8"/>
  <c r="C55" i="8"/>
  <c r="B26" i="8"/>
  <c r="A22" i="8"/>
  <c r="A91" i="8"/>
  <c r="A57" i="8"/>
  <c r="C23" i="8"/>
  <c r="C87" i="8"/>
  <c r="B58" i="8"/>
  <c r="C88" i="8"/>
  <c r="C85" i="8"/>
  <c r="B81" i="8"/>
  <c r="B7" i="8"/>
  <c r="A59" i="8"/>
  <c r="C43" i="8"/>
  <c r="A6" i="8"/>
  <c r="A84" i="8"/>
  <c r="B93" i="8"/>
  <c r="B56" i="8"/>
  <c r="C45" i="8"/>
  <c r="B82" i="8"/>
  <c r="A4" i="8"/>
  <c r="B25" i="8"/>
  <c r="C46" i="8"/>
  <c r="A68" i="8"/>
  <c r="B89" i="8"/>
  <c r="C9" i="8"/>
  <c r="A31" i="8"/>
  <c r="B52" i="8"/>
  <c r="C73" i="8"/>
  <c r="A95" i="8"/>
  <c r="B15" i="8"/>
  <c r="B13" i="8"/>
  <c r="C34" i="8"/>
  <c r="A56" i="8"/>
  <c r="B77" i="8"/>
  <c r="C98" i="8"/>
  <c r="C37" i="8"/>
  <c r="C71" i="8"/>
  <c r="C63" i="8"/>
  <c r="A81" i="8"/>
  <c r="A73" i="8"/>
  <c r="C19" i="8"/>
  <c r="B59" i="8"/>
  <c r="C77" i="8"/>
  <c r="C69" i="8"/>
  <c r="C44" i="8"/>
  <c r="B18" i="8"/>
  <c r="C91" i="8"/>
  <c r="B62" i="8"/>
  <c r="A26" i="8"/>
  <c r="C59" i="8"/>
  <c r="B39" i="8"/>
  <c r="B31" i="8"/>
  <c r="B95" i="8"/>
  <c r="A66" i="8"/>
  <c r="C27" i="8"/>
  <c r="B96" i="8"/>
  <c r="A67" i="8"/>
  <c r="B74" i="8"/>
  <c r="A3" i="8"/>
  <c r="C13" i="8"/>
  <c r="A36" i="8"/>
  <c r="B20" i="8"/>
  <c r="A63" i="8"/>
  <c r="C4" i="8"/>
  <c r="A24" i="8"/>
  <c r="B19" i="8"/>
  <c r="C92" i="8"/>
  <c r="A1" i="8"/>
  <c r="A58" i="8"/>
  <c r="A43" i="8"/>
  <c r="A62" i="8"/>
  <c r="B17" i="8"/>
  <c r="B44" i="8"/>
  <c r="C26" i="8"/>
  <c r="C24" i="8"/>
  <c r="B42" i="8"/>
  <c r="B66" i="8"/>
  <c r="B47" i="8"/>
  <c r="B2" i="8"/>
  <c r="A20" i="8"/>
  <c r="C25" i="8"/>
  <c r="A10" i="8"/>
  <c r="A72" i="8"/>
  <c r="B63" i="8"/>
  <c r="B46" i="8"/>
  <c r="A75" i="8"/>
  <c r="C16" i="8"/>
  <c r="B79" i="8"/>
  <c r="C6" i="8"/>
  <c r="A28" i="8"/>
  <c r="B49" i="8"/>
  <c r="C70" i="8"/>
  <c r="A92" i="8"/>
  <c r="B12" i="8"/>
  <c r="C33" i="8"/>
  <c r="A55" i="8"/>
  <c r="B76" i="8"/>
  <c r="C97" i="8"/>
  <c r="A18" i="8"/>
  <c r="A16" i="8"/>
  <c r="B37" i="8"/>
  <c r="C58" i="8"/>
  <c r="A80" i="8"/>
  <c r="B3" i="8"/>
  <c r="A42" i="8"/>
  <c r="C75" i="8"/>
  <c r="B72" i="8"/>
  <c r="A90" i="8"/>
  <c r="A86" i="8"/>
  <c r="A25" i="8"/>
  <c r="C67" i="8"/>
  <c r="B90" i="8"/>
  <c r="A78" i="8"/>
  <c r="A53" i="8"/>
  <c r="B32" i="8"/>
  <c r="C100" i="8"/>
  <c r="B71" i="8"/>
  <c r="A30" i="8"/>
  <c r="B64" i="8"/>
  <c r="C51" i="8"/>
  <c r="C39" i="8"/>
  <c r="B6" i="8"/>
  <c r="C36" i="8"/>
  <c r="C79" i="8"/>
  <c r="B57" i="8"/>
  <c r="A88" i="8"/>
  <c r="C21" i="8"/>
  <c r="B78" i="8"/>
  <c r="B94" i="8"/>
  <c r="C32" i="8"/>
  <c r="C1" i="8"/>
  <c r="B5" i="8"/>
  <c r="C90" i="8"/>
  <c r="A35" i="8"/>
  <c r="B87" i="8"/>
  <c r="A94" i="8"/>
  <c r="A41" i="8"/>
  <c r="B4" i="8"/>
  <c r="C89" i="8"/>
  <c r="A29" i="8"/>
  <c r="C47" i="8"/>
  <c r="B27" i="8"/>
  <c r="C5" i="8"/>
  <c r="A50" i="8"/>
  <c r="B9" i="8"/>
  <c r="C30" i="8"/>
  <c r="A52" i="8"/>
  <c r="B73" i="8"/>
  <c r="C94" i="8"/>
  <c r="A15" i="8"/>
  <c r="B36" i="8"/>
  <c r="C57" i="8"/>
  <c r="A79" i="8"/>
  <c r="B100" i="8"/>
  <c r="C20" i="8"/>
  <c r="C18" i="8"/>
  <c r="A40" i="8"/>
  <c r="B61" i="8"/>
  <c r="C82" i="8"/>
  <c r="C8" i="8"/>
  <c r="A46" i="8"/>
  <c r="B80" i="8"/>
  <c r="C76" i="8"/>
  <c r="B98" i="8"/>
  <c r="A99" i="8"/>
  <c r="C29" i="8"/>
  <c r="C80" i="8"/>
  <c r="B11" i="8"/>
  <c r="B86" i="8"/>
  <c r="C61" i="8"/>
  <c r="C40" i="8"/>
  <c r="B8" i="8"/>
  <c r="C83" i="8"/>
  <c r="B34" i="8"/>
  <c r="C72" i="8"/>
  <c r="A69" i="8"/>
  <c r="B48" i="8"/>
  <c r="C11" i="8"/>
  <c r="A83" i="8"/>
  <c r="A45" i="8"/>
  <c r="B88" i="8"/>
  <c r="C78" i="8"/>
  <c r="C66" i="8"/>
  <c r="A89" i="8"/>
  <c r="B30" i="8"/>
  <c r="A5" i="8"/>
  <c r="C31" i="8"/>
  <c r="A60" i="8"/>
  <c r="C65" i="8"/>
  <c r="B69" i="8"/>
  <c r="C93" i="8"/>
  <c r="B43" i="8"/>
  <c r="A37" i="8"/>
  <c r="B40" i="8"/>
  <c r="C62" i="8"/>
  <c r="B68" i="8"/>
  <c r="B29" i="8"/>
  <c r="A98" i="8"/>
  <c r="C52" i="8"/>
  <c r="C15" i="8"/>
  <c r="C48" i="8"/>
  <c r="A12" i="8"/>
  <c r="B33" i="8"/>
  <c r="C54" i="8"/>
  <c r="A76" i="8"/>
  <c r="B97" i="8"/>
  <c r="C17" i="8"/>
  <c r="A39" i="8"/>
  <c r="B60" i="8"/>
  <c r="C81" i="8"/>
  <c r="A2" i="8"/>
  <c r="B23" i="8"/>
  <c r="B21" i="8"/>
  <c r="C42" i="8"/>
  <c r="A64" i="8"/>
  <c r="B85" i="8"/>
  <c r="A14" i="8"/>
  <c r="B50" i="8"/>
  <c r="C84" i="8"/>
  <c r="A85" i="8"/>
  <c r="A11" i="8"/>
  <c r="B75" i="8"/>
  <c r="A34" i="8"/>
  <c r="B16" i="8"/>
  <c r="A27" i="8"/>
  <c r="B99" i="8"/>
  <c r="A70" i="8"/>
  <c r="A49" i="8"/>
  <c r="A19" i="8"/>
  <c r="C96" i="8"/>
  <c r="B38" i="8"/>
  <c r="A77" i="8"/>
  <c r="A82" i="8"/>
  <c r="C56" i="8"/>
  <c r="B22" i="8"/>
  <c r="B91" i="8"/>
  <c r="C53" i="8"/>
  <c r="B24" i="8"/>
  <c r="C14" i="8"/>
  <c r="A100" i="8"/>
  <c r="C41" i="8"/>
  <c r="B84" i="8"/>
  <c r="C2" i="8"/>
  <c r="B45" i="8"/>
  <c r="B54" i="8"/>
  <c r="A38" i="8"/>
  <c r="B35" i="8"/>
  <c r="C28" i="8"/>
  <c r="A65" i="8"/>
  <c r="C99" i="8"/>
  <c r="C38" i="8"/>
  <c r="A23" i="8"/>
  <c r="A87" i="8"/>
  <c r="A48" i="8"/>
  <c r="A93" i="8"/>
  <c r="C3" i="8"/>
  <c r="A17" i="8"/>
  <c r="B10" i="8"/>
  <c r="A74" i="8"/>
  <c r="B70" i="8"/>
  <c r="B41" i="8"/>
  <c r="A47" i="8"/>
  <c r="A8" i="8"/>
  <c r="C50" i="8"/>
  <c r="A97" i="8"/>
  <c r="A9" i="8"/>
  <c r="C95" i="8"/>
  <c r="B51" i="8"/>
  <c r="A13" i="8"/>
  <c r="A5" i="7"/>
  <c r="A2" i="7"/>
  <c r="B18" i="7"/>
  <c r="A4" i="7"/>
  <c r="B5" i="7"/>
  <c r="A9" i="7"/>
  <c r="A6" i="7"/>
  <c r="A3" i="7"/>
  <c r="A12" i="7"/>
  <c r="B14" i="7"/>
  <c r="B19" i="7"/>
  <c r="A13" i="7"/>
  <c r="A10" i="7"/>
  <c r="A7" i="7"/>
  <c r="A16" i="7"/>
  <c r="A15" i="7"/>
  <c r="B3" i="7"/>
  <c r="B11" i="7"/>
  <c r="B17" i="7"/>
  <c r="A17" i="7"/>
  <c r="A14" i="7"/>
  <c r="A11" i="7"/>
  <c r="A20" i="7"/>
  <c r="B7" i="7"/>
  <c r="B2" i="7"/>
  <c r="A8" i="7"/>
  <c r="B13" i="7"/>
  <c r="B12" i="7"/>
  <c r="B10" i="7"/>
  <c r="B1" i="7"/>
  <c r="A18" i="7"/>
  <c r="A19" i="7"/>
  <c r="B4" i="7"/>
  <c r="B15" i="7"/>
  <c r="B9" i="7"/>
  <c r="B8" i="7"/>
  <c r="B6" i="7"/>
  <c r="B16" i="7"/>
  <c r="A1" i="7"/>
  <c r="B20" i="7"/>
  <c r="H29" i="3" l="1"/>
  <c r="F6" i="3" s="1"/>
  <c r="H30" i="3"/>
  <c r="F4" i="3" s="1"/>
  <c r="H27" i="3"/>
  <c r="H21" i="3"/>
  <c r="H22" i="3"/>
  <c r="H26" i="3"/>
  <c r="H23" i="3"/>
  <c r="H28" i="3"/>
  <c r="H24" i="3"/>
  <c r="H25" i="3"/>
  <c r="H9" i="3"/>
  <c r="D34" i="10"/>
  <c r="D32" i="3"/>
  <c r="B6" i="11"/>
  <c r="C2" i="11"/>
  <c r="A7" i="11"/>
  <c r="D2" i="11"/>
  <c r="C5" i="11"/>
  <c r="B1" i="11"/>
  <c r="C7" i="11"/>
  <c r="D1" i="11"/>
  <c r="A4" i="11"/>
  <c r="F4" i="11"/>
  <c r="C6" i="11"/>
  <c r="F7" i="11"/>
  <c r="E6" i="11"/>
  <c r="D3" i="11"/>
  <c r="A6" i="11"/>
  <c r="A5" i="11"/>
  <c r="C3" i="11"/>
  <c r="B7" i="11"/>
  <c r="E3" i="11"/>
  <c r="C4" i="11"/>
  <c r="E5" i="11"/>
  <c r="D7" i="11"/>
  <c r="A1" i="11"/>
  <c r="B3" i="11"/>
  <c r="F2" i="11"/>
  <c r="F1" i="11"/>
  <c r="D5" i="11"/>
  <c r="A3" i="11"/>
  <c r="B5" i="11"/>
  <c r="E1" i="11"/>
  <c r="B4" i="11"/>
  <c r="A2" i="11"/>
  <c r="E7" i="11"/>
  <c r="D6" i="11"/>
  <c r="E2" i="11"/>
  <c r="F3" i="11"/>
  <c r="E4" i="11"/>
  <c r="F6" i="11"/>
  <c r="B2" i="11"/>
  <c r="F5" i="11"/>
  <c r="D4" i="11"/>
  <c r="C1" i="11"/>
  <c r="C11" i="3" l="1"/>
  <c r="I33" i="3"/>
  <c r="I34" i="3" s="1"/>
  <c r="I35" i="3" s="1"/>
  <c r="G33" i="3"/>
  <c r="H33" i="3"/>
  <c r="F33" i="3" s="1"/>
  <c r="J33" i="3" s="1"/>
  <c r="C20" i="3" l="1"/>
  <c r="G20" i="3" s="1"/>
  <c r="N20" i="3" s="1"/>
  <c r="S12" i="3"/>
  <c r="W12" i="3" s="1"/>
  <c r="K33" i="3"/>
  <c r="D32" i="10"/>
  <c r="D33" i="10"/>
  <c r="H20" i="3" l="1"/>
  <c r="C15" i="3"/>
  <c r="G15" i="3" s="1"/>
  <c r="N15" i="3" s="1"/>
  <c r="H15" i="3"/>
  <c r="V12" i="3"/>
  <c r="V10" i="3"/>
  <c r="J20" i="3" l="1"/>
  <c r="M20" i="3"/>
  <c r="M15" i="3"/>
  <c r="J15" i="3"/>
  <c r="K20" i="3"/>
  <c r="K15" i="3"/>
  <c r="C18" i="3"/>
  <c r="H18" i="3"/>
  <c r="J18" i="3" s="1"/>
  <c r="V11" i="3"/>
  <c r="D31" i="10"/>
  <c r="A2" i="6" a="1"/>
  <c r="M18" i="3" l="1"/>
  <c r="G18" i="3"/>
  <c r="N18" i="3" s="1"/>
  <c r="K18" i="3"/>
  <c r="D30" i="10"/>
  <c r="C35" i="3"/>
  <c r="G34" i="3"/>
  <c r="G32" i="3"/>
  <c r="G31" i="3"/>
  <c r="H16" i="3" l="1"/>
  <c r="J16" i="3" s="1"/>
  <c r="C12" i="3"/>
  <c r="C14" i="3"/>
  <c r="C16" i="3"/>
  <c r="G16" i="3" s="1"/>
  <c r="N16" i="3" s="1"/>
  <c r="D29" i="10"/>
  <c r="D28" i="10"/>
  <c r="M16" i="3" l="1"/>
  <c r="K16" i="3"/>
  <c r="C15" i="10"/>
  <c r="D6" i="10"/>
  <c r="D7" i="10"/>
  <c r="D8" i="10"/>
  <c r="D9" i="10"/>
  <c r="D10" i="10"/>
  <c r="D11" i="10"/>
  <c r="D12" i="10"/>
  <c r="D13" i="10"/>
  <c r="D14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1" i="10"/>
  <c r="D2" i="10"/>
  <c r="D3" i="10"/>
  <c r="D4" i="10"/>
  <c r="D5" i="10"/>
  <c r="D15" i="10" l="1"/>
  <c r="D35" i="3"/>
  <c r="D36" i="3" l="1"/>
  <c r="G35" i="3"/>
  <c r="A1" i="3"/>
  <c r="H35" i="3" l="1"/>
  <c r="F35" i="3" s="1"/>
  <c r="J35" i="3" s="1"/>
  <c r="H34" i="3"/>
  <c r="H32" i="3"/>
  <c r="K34" i="3" l="1"/>
  <c r="F34" i="3"/>
  <c r="J34" i="3" s="1"/>
  <c r="F32" i="3"/>
  <c r="J32" i="3" s="1"/>
  <c r="K32" i="3"/>
  <c r="K35" i="3"/>
  <c r="H13" i="3" l="1"/>
  <c r="J13" i="3" s="1"/>
  <c r="H12" i="3"/>
  <c r="J12" i="3" s="1"/>
  <c r="H17" i="3"/>
  <c r="J17" i="3" s="1"/>
  <c r="H19" i="3"/>
  <c r="J19" i="3" s="1"/>
  <c r="H10" i="3"/>
  <c r="J10" i="3" s="1"/>
  <c r="H11" i="3"/>
  <c r="J11" i="3" s="1"/>
  <c r="H14" i="3"/>
  <c r="J14" i="3" s="1"/>
  <c r="G80" i="6"/>
  <c r="B160" i="6"/>
  <c r="D168" i="6"/>
  <c r="F104" i="6"/>
  <c r="B4" i="6"/>
  <c r="D19" i="6"/>
  <c r="E47" i="6"/>
  <c r="D23" i="6"/>
  <c r="A116" i="6"/>
  <c r="C2" i="6"/>
  <c r="C14" i="6"/>
  <c r="G22" i="6"/>
  <c r="E117" i="6"/>
  <c r="D85" i="6"/>
  <c r="B180" i="6"/>
  <c r="E110" i="6"/>
  <c r="D56" i="6"/>
  <c r="B128" i="6"/>
  <c r="C39" i="6"/>
  <c r="E43" i="6"/>
  <c r="D114" i="6"/>
  <c r="F52" i="6"/>
  <c r="G72" i="6"/>
  <c r="B94" i="6"/>
  <c r="C119" i="6"/>
  <c r="A173" i="6"/>
  <c r="C116" i="6"/>
  <c r="C90" i="6"/>
  <c r="E89" i="6"/>
  <c r="C72" i="6"/>
  <c r="C148" i="6"/>
  <c r="G190" i="6"/>
  <c r="B19" i="6"/>
  <c r="B58" i="6"/>
  <c r="A176" i="6"/>
  <c r="E79" i="6"/>
  <c r="G160" i="6"/>
  <c r="D173" i="6"/>
  <c r="D50" i="6"/>
  <c r="F23" i="6"/>
  <c r="E15" i="6"/>
  <c r="G128" i="6"/>
  <c r="C41" i="6"/>
  <c r="A184" i="6"/>
  <c r="F22" i="6"/>
  <c r="A198" i="6"/>
  <c r="F51" i="6"/>
  <c r="F20" i="6"/>
  <c r="G94" i="6"/>
  <c r="F179" i="6"/>
  <c r="E136" i="6"/>
  <c r="F127" i="6"/>
  <c r="A39" i="6"/>
  <c r="D12" i="6"/>
  <c r="E185" i="6"/>
  <c r="B161" i="6"/>
  <c r="C192" i="6"/>
  <c r="A55" i="6"/>
  <c r="G176" i="6"/>
  <c r="F180" i="6"/>
  <c r="D118" i="6"/>
  <c r="C95" i="6"/>
  <c r="C76" i="6"/>
  <c r="F41" i="6"/>
  <c r="F137" i="6"/>
  <c r="A54" i="6"/>
  <c r="B39" i="6"/>
  <c r="F70" i="6"/>
  <c r="A13" i="6"/>
  <c r="A129" i="6"/>
  <c r="E60" i="6"/>
  <c r="G41" i="6"/>
  <c r="C49" i="6"/>
  <c r="F153" i="6"/>
  <c r="A177" i="6"/>
  <c r="B97" i="6"/>
  <c r="A161" i="6"/>
  <c r="C89" i="6"/>
  <c r="G31" i="6"/>
  <c r="C67" i="6"/>
  <c r="D106" i="6"/>
  <c r="C37" i="6"/>
  <c r="A94" i="6"/>
  <c r="C11" i="6"/>
  <c r="C129" i="6"/>
  <c r="F185" i="6"/>
  <c r="A98" i="6"/>
  <c r="C112" i="6"/>
  <c r="G167" i="6"/>
  <c r="F174" i="6"/>
  <c r="G199" i="6"/>
  <c r="A96" i="6"/>
  <c r="G186" i="6"/>
  <c r="G158" i="6"/>
  <c r="A102" i="6"/>
  <c r="B3" i="6"/>
  <c r="A139" i="6"/>
  <c r="A185" i="6"/>
  <c r="E37" i="6"/>
  <c r="D190" i="6"/>
  <c r="D140" i="6"/>
  <c r="B138" i="6"/>
  <c r="E127" i="6"/>
  <c r="G185" i="6"/>
  <c r="B188" i="6"/>
  <c r="A157" i="6"/>
  <c r="C106" i="6"/>
  <c r="A174" i="6"/>
  <c r="B102" i="6"/>
  <c r="G17" i="6"/>
  <c r="F48" i="6"/>
  <c r="E71" i="6"/>
  <c r="G21" i="6"/>
  <c r="D194" i="6"/>
  <c r="C164" i="6"/>
  <c r="G187" i="6"/>
  <c r="F176" i="6"/>
  <c r="E59" i="6"/>
  <c r="C142" i="6"/>
  <c r="D191" i="6"/>
  <c r="A48" i="6"/>
  <c r="B125" i="6"/>
  <c r="E118" i="6"/>
  <c r="G113" i="6"/>
  <c r="C139" i="6"/>
  <c r="A38" i="6"/>
  <c r="F2" i="6"/>
  <c r="F141" i="6"/>
  <c r="A86" i="6"/>
  <c r="B96" i="6"/>
  <c r="A35" i="6"/>
  <c r="C157" i="6"/>
  <c r="C184" i="6"/>
  <c r="F90" i="6"/>
  <c r="E77" i="6"/>
  <c r="D72" i="6"/>
  <c r="A179" i="6"/>
  <c r="A141" i="6"/>
  <c r="B172" i="6"/>
  <c r="A42" i="6"/>
  <c r="D69" i="6"/>
  <c r="C43" i="6"/>
  <c r="G20" i="6"/>
  <c r="D169" i="6"/>
  <c r="F26" i="6"/>
  <c r="B57" i="6"/>
  <c r="E95" i="6"/>
  <c r="E34" i="6"/>
  <c r="B112" i="6"/>
  <c r="D40" i="6"/>
  <c r="G4" i="6"/>
  <c r="D33" i="6"/>
  <c r="C171" i="6"/>
  <c r="A17" i="6"/>
  <c r="D136" i="6"/>
  <c r="G198" i="6"/>
  <c r="D65" i="6"/>
  <c r="B159" i="6"/>
  <c r="B158" i="6"/>
  <c r="E141" i="6"/>
  <c r="B185" i="6"/>
  <c r="C197" i="6"/>
  <c r="F18" i="6"/>
  <c r="G69" i="6"/>
  <c r="A191" i="6"/>
  <c r="D39" i="6"/>
  <c r="E29" i="6"/>
  <c r="B179" i="6"/>
  <c r="A40" i="6"/>
  <c r="D93" i="6"/>
  <c r="C84" i="6"/>
  <c r="D150" i="6"/>
  <c r="F119" i="6"/>
  <c r="B79" i="6"/>
  <c r="E193" i="6"/>
  <c r="F64" i="6"/>
  <c r="D7" i="6"/>
  <c r="A49" i="6"/>
  <c r="G71" i="6"/>
  <c r="G54" i="6"/>
  <c r="F60" i="6"/>
  <c r="G87" i="6"/>
  <c r="A29" i="6"/>
  <c r="C42" i="6"/>
  <c r="F44" i="6"/>
  <c r="E18" i="6"/>
  <c r="B83" i="6"/>
  <c r="C12" i="6"/>
  <c r="G121" i="6"/>
  <c r="E90" i="6"/>
  <c r="D91" i="6"/>
  <c r="G83" i="6"/>
  <c r="D77" i="6"/>
  <c r="C167" i="6"/>
  <c r="B164" i="6"/>
  <c r="A89" i="6"/>
  <c r="A152" i="6"/>
  <c r="B18" i="6"/>
  <c r="B157" i="6"/>
  <c r="A199" i="6"/>
  <c r="D167" i="6"/>
  <c r="F33" i="6"/>
  <c r="B113" i="6"/>
  <c r="D90" i="6"/>
  <c r="C188" i="6"/>
  <c r="E21" i="6"/>
  <c r="C13" i="6"/>
  <c r="E62" i="6"/>
  <c r="E154" i="6"/>
  <c r="G119" i="6"/>
  <c r="A180" i="6"/>
  <c r="G27" i="6"/>
  <c r="A71" i="6"/>
  <c r="F191" i="6"/>
  <c r="E9" i="6"/>
  <c r="G49" i="6"/>
  <c r="F8" i="6"/>
  <c r="E31" i="6"/>
  <c r="D41" i="6"/>
  <c r="G99" i="6"/>
  <c r="B23" i="6"/>
  <c r="D60" i="6"/>
  <c r="E183" i="6"/>
  <c r="B144" i="6"/>
  <c r="F42" i="6"/>
  <c r="F94" i="6"/>
  <c r="B114" i="6"/>
  <c r="D112" i="6"/>
  <c r="F167" i="6"/>
  <c r="E33" i="6"/>
  <c r="B184" i="6"/>
  <c r="B38" i="6"/>
  <c r="D81" i="6"/>
  <c r="B69" i="6"/>
  <c r="G64" i="6"/>
  <c r="C155" i="6"/>
  <c r="B171" i="6"/>
  <c r="A114" i="6"/>
  <c r="D186" i="6"/>
  <c r="B91" i="6"/>
  <c r="F163" i="6"/>
  <c r="D38" i="6"/>
  <c r="F111" i="6"/>
  <c r="D25" i="6"/>
  <c r="E86" i="6"/>
  <c r="F109" i="6"/>
  <c r="C88" i="6"/>
  <c r="F59" i="6"/>
  <c r="E196" i="6"/>
  <c r="G143" i="6"/>
  <c r="F36" i="6"/>
  <c r="F156" i="6"/>
  <c r="F96" i="6"/>
  <c r="A32" i="6"/>
  <c r="C60" i="6"/>
  <c r="C21" i="6"/>
  <c r="B139" i="6"/>
  <c r="C181" i="6"/>
  <c r="E67" i="6"/>
  <c r="G2" i="6"/>
  <c r="B166" i="6"/>
  <c r="E40" i="6"/>
  <c r="F170" i="6"/>
  <c r="F182" i="6"/>
  <c r="D6" i="6"/>
  <c r="B169" i="6"/>
  <c r="D159" i="6"/>
  <c r="G48" i="6"/>
  <c r="F105" i="6"/>
  <c r="E23" i="6"/>
  <c r="F58" i="6"/>
  <c r="B43" i="6"/>
  <c r="C162" i="6"/>
  <c r="E151" i="6"/>
  <c r="B65" i="6"/>
  <c r="G33" i="6"/>
  <c r="G73" i="6"/>
  <c r="D113" i="6"/>
  <c r="E51" i="6"/>
  <c r="F83" i="6"/>
  <c r="A28" i="6"/>
  <c r="F19" i="6"/>
  <c r="F21" i="6"/>
  <c r="G38" i="6"/>
  <c r="D171" i="6"/>
  <c r="A130" i="6"/>
  <c r="D115" i="6"/>
  <c r="E120" i="6"/>
  <c r="E50" i="6"/>
  <c r="F86" i="6"/>
  <c r="D122" i="6"/>
  <c r="C31" i="6"/>
  <c r="E123" i="6"/>
  <c r="A52" i="6"/>
  <c r="G200" i="6"/>
  <c r="A79" i="6"/>
  <c r="E182" i="6"/>
  <c r="F72" i="6"/>
  <c r="E145" i="6"/>
  <c r="C191" i="6"/>
  <c r="A149" i="6"/>
  <c r="C50" i="6"/>
  <c r="A90" i="6"/>
  <c r="C36" i="6"/>
  <c r="B46" i="6"/>
  <c r="B67" i="6"/>
  <c r="A100" i="6"/>
  <c r="B196" i="6"/>
  <c r="D174" i="6"/>
  <c r="B77" i="6"/>
  <c r="F143" i="6"/>
  <c r="E16" i="6"/>
  <c r="G47" i="6"/>
  <c r="D120" i="6"/>
  <c r="G131" i="6"/>
  <c r="B15" i="6"/>
  <c r="G125" i="6"/>
  <c r="F114" i="6"/>
  <c r="F160" i="6"/>
  <c r="G156" i="6"/>
  <c r="B191" i="6"/>
  <c r="C98" i="6"/>
  <c r="B62" i="6"/>
  <c r="C61" i="6"/>
  <c r="A57" i="6"/>
  <c r="A138" i="6"/>
  <c r="C130" i="6"/>
  <c r="A194" i="6"/>
  <c r="E168" i="6"/>
  <c r="E138" i="6"/>
  <c r="C173" i="6"/>
  <c r="F65" i="6"/>
  <c r="G194" i="6"/>
  <c r="F197" i="6"/>
  <c r="E174" i="6"/>
  <c r="E55" i="6"/>
  <c r="A135" i="6"/>
  <c r="E171" i="6"/>
  <c r="A36" i="6"/>
  <c r="A165" i="6"/>
  <c r="C146" i="6"/>
  <c r="G123" i="6"/>
  <c r="B174" i="6"/>
  <c r="D145" i="6"/>
  <c r="C195" i="6"/>
  <c r="C140" i="6"/>
  <c r="G170" i="6"/>
  <c r="C199" i="6"/>
  <c r="D199" i="6"/>
  <c r="F3" i="6"/>
  <c r="A2" i="6"/>
  <c r="F49" i="6"/>
  <c r="C85" i="6"/>
  <c r="B178" i="6"/>
  <c r="C123" i="6"/>
  <c r="A150" i="6"/>
  <c r="B175" i="6"/>
  <c r="B73" i="6"/>
  <c r="A56" i="6"/>
  <c r="A67" i="6"/>
  <c r="E8" i="6"/>
  <c r="A70" i="6"/>
  <c r="A159" i="6"/>
  <c r="F84" i="6"/>
  <c r="C102" i="6"/>
  <c r="A5" i="6"/>
  <c r="E200" i="6"/>
  <c r="F73" i="6"/>
  <c r="B31" i="6"/>
  <c r="B189" i="6"/>
  <c r="C100" i="6"/>
  <c r="E69" i="6"/>
  <c r="A47" i="6"/>
  <c r="E44" i="6"/>
  <c r="G92" i="6"/>
  <c r="F124" i="6"/>
  <c r="E5" i="6"/>
  <c r="G89" i="6"/>
  <c r="D71" i="6"/>
  <c r="E175" i="6"/>
  <c r="E104" i="6"/>
  <c r="E39" i="6"/>
  <c r="G7" i="6"/>
  <c r="G36" i="6"/>
  <c r="A4" i="6"/>
  <c r="G179" i="6"/>
  <c r="A99" i="6"/>
  <c r="G28" i="6"/>
  <c r="G26" i="6"/>
  <c r="G161" i="6"/>
  <c r="F11" i="6"/>
  <c r="A189" i="6"/>
  <c r="B14" i="6"/>
  <c r="E35" i="6"/>
  <c r="G60" i="6"/>
  <c r="E19" i="6"/>
  <c r="E97" i="6"/>
  <c r="C152" i="6"/>
  <c r="D131" i="6"/>
  <c r="C149" i="6"/>
  <c r="B56" i="6"/>
  <c r="D26" i="6"/>
  <c r="E54" i="6"/>
  <c r="D59" i="6"/>
  <c r="C193" i="6"/>
  <c r="E107" i="6"/>
  <c r="F199" i="6"/>
  <c r="A83" i="6"/>
  <c r="B177" i="6"/>
  <c r="C57" i="6"/>
  <c r="D197" i="6"/>
  <c r="F162" i="6"/>
  <c r="B36" i="6"/>
  <c r="B173" i="6"/>
  <c r="D78" i="6"/>
  <c r="C58" i="6"/>
  <c r="D58" i="6"/>
  <c r="A104" i="6"/>
  <c r="A192" i="6"/>
  <c r="D180" i="6"/>
  <c r="C177" i="6"/>
  <c r="F12" i="6"/>
  <c r="G124" i="6"/>
  <c r="E126" i="6"/>
  <c r="G53" i="6"/>
  <c r="G74" i="6"/>
  <c r="B153" i="6"/>
  <c r="G50" i="6"/>
  <c r="B115" i="6"/>
  <c r="E10" i="6"/>
  <c r="G84" i="6"/>
  <c r="F142" i="6"/>
  <c r="G169" i="6"/>
  <c r="C185" i="6"/>
  <c r="G116" i="6"/>
  <c r="D82" i="6"/>
  <c r="E192" i="6"/>
  <c r="G115" i="6"/>
  <c r="G67" i="6"/>
  <c r="F183" i="6"/>
  <c r="D48" i="6"/>
  <c r="C143" i="6"/>
  <c r="F62" i="6"/>
  <c r="B140" i="6"/>
  <c r="F39" i="6"/>
  <c r="B187" i="6"/>
  <c r="D99" i="6"/>
  <c r="G6" i="6"/>
  <c r="G86" i="6"/>
  <c r="B190" i="6"/>
  <c r="C138" i="6"/>
  <c r="D88" i="6"/>
  <c r="C144" i="6"/>
  <c r="G197" i="6"/>
  <c r="F81" i="6"/>
  <c r="F172" i="6"/>
  <c r="E17" i="6"/>
  <c r="E160" i="6"/>
  <c r="E12" i="6"/>
  <c r="B116" i="6"/>
  <c r="G93" i="6"/>
  <c r="E197" i="6"/>
  <c r="E132" i="6"/>
  <c r="B54" i="6"/>
  <c r="B75" i="6"/>
  <c r="A156" i="6"/>
  <c r="A183" i="6"/>
  <c r="A59" i="6"/>
  <c r="C51" i="6"/>
  <c r="G151" i="6"/>
  <c r="D89" i="6"/>
  <c r="B133" i="6"/>
  <c r="C4" i="6"/>
  <c r="C190" i="6"/>
  <c r="B193" i="6"/>
  <c r="E111" i="6"/>
  <c r="D97" i="6"/>
  <c r="B29" i="6"/>
  <c r="G109" i="6"/>
  <c r="F138" i="6"/>
  <c r="F108" i="6"/>
  <c r="G37" i="6"/>
  <c r="C45" i="6"/>
  <c r="B130" i="6"/>
  <c r="A111" i="6"/>
  <c r="F190" i="6"/>
  <c r="G145" i="6"/>
  <c r="A147" i="6"/>
  <c r="C166" i="6"/>
  <c r="D187" i="6"/>
  <c r="G144" i="6"/>
  <c r="A158" i="6"/>
  <c r="C79" i="6"/>
  <c r="A186" i="6"/>
  <c r="C64" i="6"/>
  <c r="C96" i="6"/>
  <c r="B45" i="6"/>
  <c r="G81" i="6"/>
  <c r="D28" i="6"/>
  <c r="C151" i="6"/>
  <c r="G182" i="6"/>
  <c r="D27" i="6"/>
  <c r="A119" i="6"/>
  <c r="D45" i="6"/>
  <c r="B108" i="6"/>
  <c r="B24" i="6"/>
  <c r="G51" i="6"/>
  <c r="C165" i="6"/>
  <c r="D3" i="6"/>
  <c r="D44" i="6"/>
  <c r="G75" i="6"/>
  <c r="B17" i="6"/>
  <c r="G10" i="6"/>
  <c r="A27" i="6"/>
  <c r="E125" i="6"/>
  <c r="F171" i="6"/>
  <c r="F61" i="6"/>
  <c r="F102" i="6"/>
  <c r="G24" i="6"/>
  <c r="B44" i="6"/>
  <c r="C73" i="6"/>
  <c r="E137" i="6"/>
  <c r="A120" i="6"/>
  <c r="B89" i="6"/>
  <c r="D189" i="6"/>
  <c r="G25" i="6"/>
  <c r="C35" i="6"/>
  <c r="B5" i="6"/>
  <c r="F13" i="6"/>
  <c r="C65" i="6"/>
  <c r="F37" i="6"/>
  <c r="G40" i="6"/>
  <c r="D79" i="6"/>
  <c r="G111" i="6"/>
  <c r="D47" i="6"/>
  <c r="C103" i="6"/>
  <c r="C196" i="6"/>
  <c r="B11" i="6"/>
  <c r="E170" i="6"/>
  <c r="B123" i="6"/>
  <c r="A140" i="6"/>
  <c r="B10" i="6"/>
  <c r="F79" i="6"/>
  <c r="E22" i="6"/>
  <c r="C32" i="6"/>
  <c r="F189" i="6"/>
  <c r="D143" i="6"/>
  <c r="E61" i="6"/>
  <c r="C30" i="6"/>
  <c r="E188" i="6"/>
  <c r="C94" i="6"/>
  <c r="B26" i="6"/>
  <c r="B181" i="6"/>
  <c r="A134" i="6"/>
  <c r="C7" i="6"/>
  <c r="F38" i="6"/>
  <c r="F139" i="6"/>
  <c r="G107" i="6"/>
  <c r="F196" i="6"/>
  <c r="A145" i="6"/>
  <c r="G88" i="6"/>
  <c r="B59" i="6"/>
  <c r="A87" i="6"/>
  <c r="D178" i="6"/>
  <c r="B72" i="6"/>
  <c r="E76" i="6"/>
  <c r="B106" i="6"/>
  <c r="B118" i="6"/>
  <c r="E94" i="6"/>
  <c r="D163" i="6"/>
  <c r="D152" i="6"/>
  <c r="F112" i="6"/>
  <c r="E142" i="6"/>
  <c r="D21" i="6"/>
  <c r="C52" i="6"/>
  <c r="D66" i="6"/>
  <c r="A153" i="6"/>
  <c r="C44" i="6"/>
  <c r="E150" i="6"/>
  <c r="E72" i="6"/>
  <c r="B197" i="6"/>
  <c r="B195" i="6"/>
  <c r="E28" i="6"/>
  <c r="B135" i="6"/>
  <c r="D200" i="6"/>
  <c r="A72" i="6"/>
  <c r="D162" i="6"/>
  <c r="A50" i="6"/>
  <c r="E161" i="6"/>
  <c r="F159" i="6"/>
  <c r="E36" i="6"/>
  <c r="C200" i="6"/>
  <c r="B122" i="6"/>
  <c r="A77" i="6"/>
  <c r="A9" i="6"/>
  <c r="G164" i="6"/>
  <c r="A93" i="6"/>
  <c r="B7" i="6"/>
  <c r="A166" i="6"/>
  <c r="E26" i="6"/>
  <c r="D15" i="6"/>
  <c r="E178" i="6"/>
  <c r="F122" i="6"/>
  <c r="G150" i="6"/>
  <c r="B80" i="6"/>
  <c r="F200" i="6"/>
  <c r="C145" i="6"/>
  <c r="F110" i="6"/>
  <c r="B55" i="6"/>
  <c r="F152" i="6"/>
  <c r="F151" i="6"/>
  <c r="G30" i="6"/>
  <c r="C153" i="6"/>
  <c r="C26" i="6"/>
  <c r="D155" i="6"/>
  <c r="A68" i="6"/>
  <c r="F93" i="6"/>
  <c r="B126" i="6"/>
  <c r="C158" i="6"/>
  <c r="C198" i="6"/>
  <c r="G177" i="6"/>
  <c r="D137" i="6"/>
  <c r="F106" i="6"/>
  <c r="D182" i="6"/>
  <c r="G133" i="6"/>
  <c r="A11" i="6"/>
  <c r="G178" i="6"/>
  <c r="C6" i="6"/>
  <c r="B165" i="6"/>
  <c r="C87" i="6"/>
  <c r="G173" i="6"/>
  <c r="G61" i="6"/>
  <c r="C174" i="6"/>
  <c r="B107" i="6"/>
  <c r="B111" i="6"/>
  <c r="F15" i="6"/>
  <c r="G163" i="6"/>
  <c r="D127" i="6"/>
  <c r="B92" i="6"/>
  <c r="C105" i="6"/>
  <c r="B2" i="6"/>
  <c r="C91" i="6"/>
  <c r="F87" i="6"/>
  <c r="F148" i="6"/>
  <c r="A148" i="6"/>
  <c r="D135" i="6"/>
  <c r="B66" i="6"/>
  <c r="A109" i="6"/>
  <c r="E113" i="6"/>
  <c r="C121" i="6"/>
  <c r="G138" i="6"/>
  <c r="F161" i="6"/>
  <c r="G175" i="6"/>
  <c r="D116" i="6"/>
  <c r="G110" i="6"/>
  <c r="F68" i="6"/>
  <c r="E92" i="6"/>
  <c r="A66" i="6"/>
  <c r="A3" i="6"/>
  <c r="D53" i="6"/>
  <c r="G141" i="6"/>
  <c r="E198" i="6"/>
  <c r="D104" i="6"/>
  <c r="D5" i="6"/>
  <c r="B143" i="6"/>
  <c r="C9" i="6"/>
  <c r="F4" i="6"/>
  <c r="G18" i="6"/>
  <c r="D83" i="6"/>
  <c r="F192" i="6"/>
  <c r="E134" i="6"/>
  <c r="F194" i="6"/>
  <c r="G146" i="6"/>
  <c r="C104" i="6"/>
  <c r="G171" i="6"/>
  <c r="F17" i="6"/>
  <c r="D100" i="6"/>
  <c r="C132" i="6"/>
  <c r="G91" i="6"/>
  <c r="B68" i="6"/>
  <c r="B162" i="6"/>
  <c r="A43" i="6"/>
  <c r="D110" i="6"/>
  <c r="B131" i="6"/>
  <c r="B13" i="6"/>
  <c r="E140" i="6"/>
  <c r="B33" i="6"/>
  <c r="B163" i="6"/>
  <c r="G140" i="6"/>
  <c r="D20" i="6"/>
  <c r="B50" i="6"/>
  <c r="C114" i="6"/>
  <c r="G165" i="6"/>
  <c r="E85" i="6"/>
  <c r="A118" i="6"/>
  <c r="A80" i="6"/>
  <c r="A63" i="6"/>
  <c r="A34" i="6"/>
  <c r="A105" i="6"/>
  <c r="G35" i="6"/>
  <c r="B129" i="6"/>
  <c r="E98" i="6"/>
  <c r="B132" i="6"/>
  <c r="E112" i="6"/>
  <c r="F169" i="6"/>
  <c r="F154" i="6"/>
  <c r="D37" i="6"/>
  <c r="G59" i="6"/>
  <c r="C186" i="6"/>
  <c r="G5" i="6"/>
  <c r="B105" i="6"/>
  <c r="G192" i="6"/>
  <c r="C183" i="6"/>
  <c r="G139" i="6"/>
  <c r="A197" i="6"/>
  <c r="D64" i="6"/>
  <c r="E163" i="6"/>
  <c r="A44" i="6"/>
  <c r="G34" i="6"/>
  <c r="F118" i="6"/>
  <c r="A37" i="6"/>
  <c r="E87" i="6"/>
  <c r="B194" i="6"/>
  <c r="G78" i="6"/>
  <c r="E38" i="6"/>
  <c r="E70" i="6"/>
  <c r="D195" i="6"/>
  <c r="A169" i="6"/>
  <c r="B148" i="6"/>
  <c r="D141" i="6"/>
  <c r="C74" i="6"/>
  <c r="B22" i="6"/>
  <c r="F82" i="6"/>
  <c r="D160" i="6"/>
  <c r="G189" i="6"/>
  <c r="G103" i="6"/>
  <c r="E96" i="6"/>
  <c r="F29" i="6"/>
  <c r="F24" i="6"/>
  <c r="B155" i="6"/>
  <c r="A30" i="6"/>
  <c r="B98" i="6"/>
  <c r="B52" i="6"/>
  <c r="E109" i="6"/>
  <c r="D188" i="6"/>
  <c r="A193" i="6"/>
  <c r="E147" i="6"/>
  <c r="D139" i="6"/>
  <c r="D183" i="6"/>
  <c r="F47" i="6"/>
  <c r="E153" i="6"/>
  <c r="D68" i="6"/>
  <c r="B147" i="6"/>
  <c r="B154" i="6"/>
  <c r="A95" i="6"/>
  <c r="G136" i="6"/>
  <c r="A122" i="6"/>
  <c r="F57" i="6"/>
  <c r="D157" i="6"/>
  <c r="B61" i="6"/>
  <c r="G43" i="6"/>
  <c r="D129" i="6"/>
  <c r="E103" i="6"/>
  <c r="C170" i="6"/>
  <c r="E165" i="6"/>
  <c r="D126" i="6"/>
  <c r="F115" i="6"/>
  <c r="B110" i="6"/>
  <c r="D177" i="6"/>
  <c r="G85" i="6"/>
  <c r="F28" i="6"/>
  <c r="E149" i="6"/>
  <c r="E116" i="6"/>
  <c r="F16" i="6"/>
  <c r="E191" i="6"/>
  <c r="B37" i="6"/>
  <c r="D146" i="6"/>
  <c r="D52" i="6"/>
  <c r="D17" i="6"/>
  <c r="A31" i="6"/>
  <c r="B200" i="6"/>
  <c r="F147" i="6"/>
  <c r="G114" i="6"/>
  <c r="G191" i="6"/>
  <c r="C160" i="6"/>
  <c r="D101" i="6"/>
  <c r="A85" i="6"/>
  <c r="C27" i="6"/>
  <c r="E148" i="6"/>
  <c r="F155" i="6"/>
  <c r="C75" i="6"/>
  <c r="A12" i="6"/>
  <c r="B86" i="6"/>
  <c r="F177" i="6"/>
  <c r="G23" i="6"/>
  <c r="B63" i="6"/>
  <c r="A127" i="6"/>
  <c r="F158" i="6"/>
  <c r="D31" i="6"/>
  <c r="F117" i="6"/>
  <c r="E64" i="6"/>
  <c r="A91" i="6"/>
  <c r="C54" i="6"/>
  <c r="D63" i="6"/>
  <c r="B90" i="6"/>
  <c r="E181" i="6"/>
  <c r="C172" i="6"/>
  <c r="F74" i="6"/>
  <c r="B9" i="6"/>
  <c r="G8" i="6"/>
  <c r="E122" i="6"/>
  <c r="C47" i="6"/>
  <c r="E13" i="6"/>
  <c r="C81" i="6"/>
  <c r="A76" i="6"/>
  <c r="E195" i="6"/>
  <c r="E169" i="6"/>
  <c r="E177" i="6"/>
  <c r="D87" i="6"/>
  <c r="D121" i="6"/>
  <c r="G168" i="6"/>
  <c r="E179" i="6"/>
  <c r="C63" i="6"/>
  <c r="B74" i="6"/>
  <c r="G106" i="6"/>
  <c r="D32" i="6"/>
  <c r="D2" i="6"/>
  <c r="D134" i="6"/>
  <c r="D148" i="6"/>
  <c r="E194" i="6"/>
  <c r="B35" i="6"/>
  <c r="G127" i="6"/>
  <c r="C131" i="6"/>
  <c r="D86" i="6"/>
  <c r="B16" i="6"/>
  <c r="A115" i="6"/>
  <c r="C136" i="6"/>
  <c r="D142" i="6"/>
  <c r="D18" i="6"/>
  <c r="F184" i="6"/>
  <c r="D132" i="6"/>
  <c r="D179" i="6"/>
  <c r="F9" i="6"/>
  <c r="C28" i="6"/>
  <c r="G159" i="6"/>
  <c r="F123" i="6"/>
  <c r="B6" i="6"/>
  <c r="F186" i="6"/>
  <c r="C86" i="6"/>
  <c r="E88" i="6"/>
  <c r="B88" i="6"/>
  <c r="B85" i="6"/>
  <c r="A113" i="6"/>
  <c r="A24" i="6"/>
  <c r="G82" i="6"/>
  <c r="D123" i="6"/>
  <c r="C34" i="6"/>
  <c r="G195" i="6"/>
  <c r="D35" i="6"/>
  <c r="D176" i="6"/>
  <c r="E187" i="6"/>
  <c r="C124" i="6"/>
  <c r="E121" i="6"/>
  <c r="D67" i="6"/>
  <c r="B81" i="6"/>
  <c r="G12" i="6"/>
  <c r="A151" i="6"/>
  <c r="C113" i="6"/>
  <c r="F35" i="6"/>
  <c r="E73" i="6"/>
  <c r="F98" i="6"/>
  <c r="B48" i="6"/>
  <c r="C107" i="6"/>
  <c r="E101" i="6"/>
  <c r="A200" i="6"/>
  <c r="E84" i="6"/>
  <c r="A61" i="6"/>
  <c r="G172" i="6"/>
  <c r="B142" i="6"/>
  <c r="E184" i="6"/>
  <c r="C161" i="6"/>
  <c r="G108" i="6"/>
  <c r="A92" i="6"/>
  <c r="E157" i="6"/>
  <c r="C24" i="6"/>
  <c r="C71" i="6"/>
  <c r="E190" i="6"/>
  <c r="D51" i="6"/>
  <c r="A128" i="6"/>
  <c r="F133" i="6"/>
  <c r="D61" i="6"/>
  <c r="G120" i="6"/>
  <c r="B103" i="6"/>
  <c r="C78" i="6"/>
  <c r="A175" i="6"/>
  <c r="B64" i="6"/>
  <c r="G3" i="6"/>
  <c r="E119" i="6"/>
  <c r="F32" i="6"/>
  <c r="A58" i="6"/>
  <c r="C82" i="6"/>
  <c r="F50" i="6"/>
  <c r="F120" i="6"/>
  <c r="D10" i="6"/>
  <c r="A132" i="6"/>
  <c r="G45" i="6"/>
  <c r="C159" i="6"/>
  <c r="A195" i="6"/>
  <c r="B49" i="6"/>
  <c r="B167" i="6"/>
  <c r="D74" i="6"/>
  <c r="F14" i="6"/>
  <c r="E57" i="6"/>
  <c r="F76" i="6"/>
  <c r="A74" i="6"/>
  <c r="C92" i="6"/>
  <c r="B100" i="6"/>
  <c r="G188" i="6"/>
  <c r="F113" i="6"/>
  <c r="D193" i="6"/>
  <c r="E45" i="6"/>
  <c r="C77" i="6"/>
  <c r="G162" i="6"/>
  <c r="C17" i="6"/>
  <c r="G62" i="6"/>
  <c r="D73" i="6"/>
  <c r="A143" i="6"/>
  <c r="F164" i="6"/>
  <c r="G96" i="6"/>
  <c r="F144" i="6"/>
  <c r="G166" i="6"/>
  <c r="D96" i="6"/>
  <c r="B25" i="6"/>
  <c r="A190" i="6"/>
  <c r="B20" i="6"/>
  <c r="B119" i="6"/>
  <c r="D175" i="6"/>
  <c r="A144" i="6"/>
  <c r="A82" i="6"/>
  <c r="E102" i="6"/>
  <c r="A64" i="6"/>
  <c r="E42" i="6"/>
  <c r="B121" i="6"/>
  <c r="D75" i="6"/>
  <c r="C22" i="6"/>
  <c r="D107" i="6"/>
  <c r="B109" i="6"/>
  <c r="E25" i="6"/>
  <c r="B28" i="6"/>
  <c r="C133" i="6"/>
  <c r="A146" i="6"/>
  <c r="C16" i="6"/>
  <c r="D95" i="6"/>
  <c r="B149" i="6"/>
  <c r="A131" i="6"/>
  <c r="A46" i="6"/>
  <c r="C175" i="6"/>
  <c r="F128" i="6"/>
  <c r="E58" i="6"/>
  <c r="F149" i="6"/>
  <c r="B152" i="6"/>
  <c r="F55" i="6"/>
  <c r="B95" i="6"/>
  <c r="A26" i="6"/>
  <c r="B101" i="6"/>
  <c r="A187" i="6"/>
  <c r="E144" i="6"/>
  <c r="B198" i="6"/>
  <c r="D84" i="6"/>
  <c r="F168" i="6"/>
  <c r="B150" i="6"/>
  <c r="A182" i="6"/>
  <c r="E143" i="6"/>
  <c r="D119" i="6"/>
  <c r="G9" i="6"/>
  <c r="E106" i="6"/>
  <c r="D149" i="6"/>
  <c r="B186" i="6"/>
  <c r="A23" i="6"/>
  <c r="D55" i="6"/>
  <c r="F145" i="6"/>
  <c r="B93" i="6"/>
  <c r="D192" i="6"/>
  <c r="D62" i="6"/>
  <c r="D147" i="6"/>
  <c r="A8" i="6"/>
  <c r="F63" i="6"/>
  <c r="D185" i="6"/>
  <c r="E6" i="6"/>
  <c r="B70" i="6"/>
  <c r="F30" i="6"/>
  <c r="E63" i="6"/>
  <c r="G77" i="6"/>
  <c r="C150" i="6"/>
  <c r="G46" i="6"/>
  <c r="C128" i="6"/>
  <c r="D125" i="6"/>
  <c r="D108" i="6"/>
  <c r="C29" i="6"/>
  <c r="F103" i="6"/>
  <c r="E105" i="6"/>
  <c r="A170" i="6"/>
  <c r="E81" i="6"/>
  <c r="A16" i="6"/>
  <c r="G196" i="6"/>
  <c r="G63" i="6"/>
  <c r="E74" i="6"/>
  <c r="A142" i="6"/>
  <c r="A178" i="6"/>
  <c r="B87" i="6"/>
  <c r="A88" i="6"/>
  <c r="E3" i="6"/>
  <c r="D9" i="6"/>
  <c r="B117" i="6"/>
  <c r="G79" i="6"/>
  <c r="G135" i="6"/>
  <c r="A33" i="6"/>
  <c r="E146" i="6"/>
  <c r="B32" i="6"/>
  <c r="D161" i="6"/>
  <c r="B34" i="6"/>
  <c r="C33" i="6"/>
  <c r="B182" i="6"/>
  <c r="C56" i="6"/>
  <c r="F181" i="6"/>
  <c r="E167" i="6"/>
  <c r="E52" i="6"/>
  <c r="E172" i="6"/>
  <c r="C137" i="6"/>
  <c r="F100" i="6"/>
  <c r="G134" i="6"/>
  <c r="C111" i="6"/>
  <c r="D4" i="6"/>
  <c r="E162" i="6"/>
  <c r="A41" i="6"/>
  <c r="G126" i="6"/>
  <c r="D80" i="6"/>
  <c r="G95" i="6"/>
  <c r="B127" i="6"/>
  <c r="C156" i="6"/>
  <c r="A84" i="6"/>
  <c r="C122" i="6"/>
  <c r="G181" i="6"/>
  <c r="E128" i="6"/>
  <c r="A21" i="6"/>
  <c r="B84" i="6"/>
  <c r="F187" i="6"/>
  <c r="B8" i="6"/>
  <c r="G76" i="6"/>
  <c r="G70" i="6"/>
  <c r="E129" i="6"/>
  <c r="C135" i="6"/>
  <c r="C46" i="6"/>
  <c r="E164" i="6"/>
  <c r="A6" i="6"/>
  <c r="F6" i="6"/>
  <c r="C5" i="6"/>
  <c r="C48" i="6"/>
  <c r="G65" i="6"/>
  <c r="E75" i="6"/>
  <c r="A107" i="6"/>
  <c r="A22" i="6"/>
  <c r="G11" i="6"/>
  <c r="B47" i="6"/>
  <c r="F80" i="6"/>
  <c r="E124" i="6"/>
  <c r="G142" i="6"/>
  <c r="C83" i="6"/>
  <c r="G155" i="6"/>
  <c r="D158" i="6"/>
  <c r="E4" i="6"/>
  <c r="E32" i="6"/>
  <c r="G118" i="6"/>
  <c r="F95" i="6"/>
  <c r="A154" i="6"/>
  <c r="F146" i="6"/>
  <c r="F34" i="6"/>
  <c r="G42" i="6"/>
  <c r="G90" i="6"/>
  <c r="A188" i="6"/>
  <c r="C25" i="6"/>
  <c r="D156" i="6"/>
  <c r="B12" i="6"/>
  <c r="A171" i="6"/>
  <c r="A196" i="6"/>
  <c r="F101" i="6"/>
  <c r="D138" i="6"/>
  <c r="F25" i="6"/>
  <c r="G152" i="6"/>
  <c r="E99" i="6"/>
  <c r="C68" i="6"/>
  <c r="C126" i="6"/>
  <c r="F173" i="6"/>
  <c r="G183" i="6"/>
  <c r="C80" i="6"/>
  <c r="E189" i="6"/>
  <c r="A117" i="6"/>
  <c r="F132" i="6"/>
  <c r="G184" i="6"/>
  <c r="C66" i="6"/>
  <c r="E82" i="6"/>
  <c r="A126" i="6"/>
  <c r="E173" i="6"/>
  <c r="G153" i="6"/>
  <c r="B176" i="6"/>
  <c r="C53" i="6"/>
  <c r="G15" i="6"/>
  <c r="A137" i="6"/>
  <c r="F136" i="6"/>
  <c r="E158" i="6"/>
  <c r="A162" i="6"/>
  <c r="D14" i="6"/>
  <c r="G98" i="6"/>
  <c r="A51" i="6"/>
  <c r="A172" i="6"/>
  <c r="D92" i="6"/>
  <c r="D103" i="6"/>
  <c r="F135" i="6"/>
  <c r="C19" i="6"/>
  <c r="F130" i="6"/>
  <c r="C115" i="6"/>
  <c r="B136" i="6"/>
  <c r="C134" i="6"/>
  <c r="F121" i="6"/>
  <c r="D196" i="6"/>
  <c r="A20" i="6"/>
  <c r="E180" i="6"/>
  <c r="B30" i="6"/>
  <c r="F53" i="6"/>
  <c r="E114" i="6"/>
  <c r="B146" i="6"/>
  <c r="C93" i="6"/>
  <c r="B199" i="6"/>
  <c r="F69" i="6"/>
  <c r="D43" i="6"/>
  <c r="A19" i="6"/>
  <c r="D166" i="6"/>
  <c r="G137" i="6"/>
  <c r="A25" i="6"/>
  <c r="A7" i="6"/>
  <c r="C169" i="6"/>
  <c r="D128" i="6"/>
  <c r="D109" i="6"/>
  <c r="E78" i="6"/>
  <c r="F71" i="6"/>
  <c r="E152" i="6"/>
  <c r="E199" i="6"/>
  <c r="A14" i="6"/>
  <c r="F91" i="6"/>
  <c r="B41" i="6"/>
  <c r="B170" i="6"/>
  <c r="F129" i="6"/>
  <c r="C40" i="6"/>
  <c r="F88" i="6"/>
  <c r="B40" i="6"/>
  <c r="G29" i="6"/>
  <c r="G117" i="6"/>
  <c r="B76" i="6"/>
  <c r="C194" i="6"/>
  <c r="C189" i="6"/>
  <c r="A160" i="6"/>
  <c r="G112" i="6"/>
  <c r="B104" i="6"/>
  <c r="D22" i="6"/>
  <c r="D13" i="6"/>
  <c r="F77" i="6"/>
  <c r="D76" i="6"/>
  <c r="C168" i="6"/>
  <c r="D105" i="6"/>
  <c r="D102" i="6"/>
  <c r="D34" i="6"/>
  <c r="A124" i="6"/>
  <c r="G58" i="6"/>
  <c r="C147" i="6"/>
  <c r="D70" i="6"/>
  <c r="B137" i="6"/>
  <c r="F89" i="6"/>
  <c r="C18" i="6"/>
  <c r="E80" i="6"/>
  <c r="G66" i="6"/>
  <c r="E176" i="6"/>
  <c r="E30" i="6"/>
  <c r="E2" i="6"/>
  <c r="C55" i="6"/>
  <c r="G132" i="6"/>
  <c r="F198" i="6"/>
  <c r="G14" i="6"/>
  <c r="C8" i="6"/>
  <c r="F195" i="6"/>
  <c r="F97" i="6"/>
  <c r="E48" i="6"/>
  <c r="F125" i="6"/>
  <c r="A125" i="6"/>
  <c r="A108" i="6"/>
  <c r="F178" i="6"/>
  <c r="A15" i="6"/>
  <c r="A45" i="6"/>
  <c r="G44" i="6"/>
  <c r="D29" i="6"/>
  <c r="C118" i="6"/>
  <c r="E41" i="6"/>
  <c r="A163" i="6"/>
  <c r="A106" i="6"/>
  <c r="B156" i="6"/>
  <c r="G105" i="6"/>
  <c r="G56" i="6"/>
  <c r="C117" i="6"/>
  <c r="D164" i="6"/>
  <c r="A167" i="6"/>
  <c r="D36" i="6"/>
  <c r="A101" i="6"/>
  <c r="F126" i="6"/>
  <c r="B183" i="6"/>
  <c r="E65" i="6"/>
  <c r="D181" i="6"/>
  <c r="G39" i="6"/>
  <c r="F75" i="6"/>
  <c r="B168" i="6"/>
  <c r="F165" i="6"/>
  <c r="E130" i="6"/>
  <c r="D151" i="6"/>
  <c r="E20" i="6"/>
  <c r="F116" i="6"/>
  <c r="F92" i="6"/>
  <c r="F40" i="6"/>
  <c r="F134" i="6"/>
  <c r="E24" i="6"/>
  <c r="B134" i="6"/>
  <c r="G100" i="6"/>
  <c r="C15" i="6"/>
  <c r="G13" i="6"/>
  <c r="B141" i="6"/>
  <c r="G101" i="6"/>
  <c r="G149" i="6"/>
  <c r="D94" i="6"/>
  <c r="G32" i="6"/>
  <c r="F45" i="6"/>
  <c r="B71" i="6"/>
  <c r="D8" i="6"/>
  <c r="G147" i="6"/>
  <c r="C163" i="6"/>
  <c r="F31" i="6"/>
  <c r="G57" i="6"/>
  <c r="E115" i="6"/>
  <c r="F150" i="6"/>
  <c r="G16" i="6"/>
  <c r="C120" i="6"/>
  <c r="E186" i="6"/>
  <c r="F66" i="6"/>
  <c r="E53" i="6"/>
  <c r="F7" i="6"/>
  <c r="E11" i="6"/>
  <c r="E135" i="6"/>
  <c r="A10" i="6"/>
  <c r="E133" i="6"/>
  <c r="D11" i="6"/>
  <c r="A133" i="6"/>
  <c r="F175" i="6"/>
  <c r="D124" i="6"/>
  <c r="G97" i="6"/>
  <c r="C3" i="6"/>
  <c r="C69" i="6"/>
  <c r="E100" i="6"/>
  <c r="E66" i="6"/>
  <c r="A60" i="6"/>
  <c r="A69" i="6"/>
  <c r="F67" i="6"/>
  <c r="E131" i="6"/>
  <c r="A110" i="6"/>
  <c r="F46" i="6"/>
  <c r="E14" i="6"/>
  <c r="D54" i="6"/>
  <c r="C178" i="6"/>
  <c r="A136" i="6"/>
  <c r="D49" i="6"/>
  <c r="D111" i="6"/>
  <c r="E49" i="6"/>
  <c r="G102" i="6"/>
  <c r="E46" i="6"/>
  <c r="E83" i="6"/>
  <c r="C141" i="6"/>
  <c r="B27" i="6"/>
  <c r="F54" i="6"/>
  <c r="C109" i="6"/>
  <c r="E91" i="6"/>
  <c r="D154" i="6"/>
  <c r="G68" i="6"/>
  <c r="F5" i="6"/>
  <c r="C62" i="6"/>
  <c r="F43" i="6"/>
  <c r="E108" i="6"/>
  <c r="G104" i="6"/>
  <c r="G180" i="6"/>
  <c r="G130" i="6"/>
  <c r="D133" i="6"/>
  <c r="C182" i="6"/>
  <c r="D184" i="6"/>
  <c r="C187" i="6"/>
  <c r="E68" i="6"/>
  <c r="F78" i="6"/>
  <c r="E159" i="6"/>
  <c r="G129" i="6"/>
  <c r="F140" i="6"/>
  <c r="E166" i="6"/>
  <c r="A164" i="6"/>
  <c r="E156" i="6"/>
  <c r="A62" i="6"/>
  <c r="C20" i="6"/>
  <c r="G19" i="6"/>
  <c r="C70" i="6"/>
  <c r="C38" i="6"/>
  <c r="A81" i="6"/>
  <c r="G193" i="6"/>
  <c r="D170" i="6"/>
  <c r="D144" i="6"/>
  <c r="B192" i="6"/>
  <c r="F27" i="6"/>
  <c r="F157" i="6"/>
  <c r="F56" i="6"/>
  <c r="F131" i="6"/>
  <c r="F85" i="6"/>
  <c r="C108" i="6"/>
  <c r="A112" i="6"/>
  <c r="A73" i="6"/>
  <c r="E93" i="6"/>
  <c r="D42" i="6"/>
  <c r="A97" i="6"/>
  <c r="A181" i="6"/>
  <c r="C179" i="6"/>
  <c r="B99" i="6"/>
  <c r="A123" i="6"/>
  <c r="A18" i="6"/>
  <c r="G174" i="6"/>
  <c r="A65" i="6"/>
  <c r="F10" i="6"/>
  <c r="D130" i="6"/>
  <c r="A121" i="6"/>
  <c r="C125" i="6"/>
  <c r="D153" i="6"/>
  <c r="D172" i="6"/>
  <c r="D165" i="6"/>
  <c r="B78" i="6"/>
  <c r="A168" i="6"/>
  <c r="D57" i="6"/>
  <c r="E27" i="6"/>
  <c r="F107" i="6"/>
  <c r="B82" i="6"/>
  <c r="D30" i="6"/>
  <c r="C59" i="6"/>
  <c r="G154" i="6"/>
  <c r="A53" i="6"/>
  <c r="F188" i="6"/>
  <c r="E155" i="6"/>
  <c r="F166" i="6"/>
  <c r="B21" i="6"/>
  <c r="D16" i="6"/>
  <c r="C176" i="6"/>
  <c r="D98" i="6"/>
  <c r="G52" i="6"/>
  <c r="D24" i="6"/>
  <c r="G122" i="6"/>
  <c r="B60" i="6"/>
  <c r="C99" i="6"/>
  <c r="C101" i="6"/>
  <c r="C10" i="6"/>
  <c r="C110" i="6"/>
  <c r="A155" i="6"/>
  <c r="B124" i="6"/>
  <c r="D117" i="6"/>
  <c r="C23" i="6"/>
  <c r="F99" i="6"/>
  <c r="A75" i="6"/>
  <c r="B145" i="6"/>
  <c r="B51" i="6"/>
  <c r="A78" i="6"/>
  <c r="B120" i="6"/>
  <c r="F193" i="6"/>
  <c r="E56" i="6"/>
  <c r="D198" i="6"/>
  <c r="B53" i="6"/>
  <c r="G55" i="6"/>
  <c r="A103" i="6"/>
  <c r="B42" i="6"/>
  <c r="G148" i="6"/>
  <c r="C154" i="6"/>
  <c r="E139" i="6"/>
  <c r="B151" i="6"/>
  <c r="G157" i="6"/>
  <c r="C127" i="6"/>
  <c r="C97" i="6"/>
  <c r="C180" i="6"/>
  <c r="D46" i="6"/>
  <c r="E7" i="6"/>
  <c r="I193" i="6" l="1"/>
  <c r="I99" i="6"/>
  <c r="I166" i="6"/>
  <c r="I188" i="6"/>
  <c r="I107" i="6"/>
  <c r="I10" i="6"/>
  <c r="I85" i="6"/>
  <c r="I131" i="6"/>
  <c r="I56" i="6"/>
  <c r="I157" i="6"/>
  <c r="I27" i="6"/>
  <c r="I140" i="6"/>
  <c r="I78" i="6"/>
  <c r="I43" i="6"/>
  <c r="I5" i="6"/>
  <c r="I54" i="6"/>
  <c r="I46" i="6"/>
  <c r="I67" i="6"/>
  <c r="I175" i="6"/>
  <c r="I7" i="6"/>
  <c r="I66" i="6"/>
  <c r="I150" i="6"/>
  <c r="I31" i="6"/>
  <c r="I45" i="6"/>
  <c r="I134" i="6"/>
  <c r="I40" i="6"/>
  <c r="I92" i="6"/>
  <c r="I116" i="6"/>
  <c r="I165" i="6"/>
  <c r="I75" i="6"/>
  <c r="I126" i="6"/>
  <c r="I178" i="6"/>
  <c r="I125" i="6"/>
  <c r="I97" i="6"/>
  <c r="I195" i="6"/>
  <c r="I198" i="6"/>
  <c r="I89" i="6"/>
  <c r="I77" i="6"/>
  <c r="I88" i="6"/>
  <c r="I129" i="6"/>
  <c r="I91" i="6"/>
  <c r="I71" i="6"/>
  <c r="I69" i="6"/>
  <c r="I53" i="6"/>
  <c r="I121" i="6"/>
  <c r="I130" i="6"/>
  <c r="I135" i="6"/>
  <c r="I136" i="6"/>
  <c r="I132" i="6"/>
  <c r="I173" i="6"/>
  <c r="I25" i="6"/>
  <c r="I101" i="6"/>
  <c r="I34" i="6"/>
  <c r="I146" i="6"/>
  <c r="I95" i="6"/>
  <c r="I80" i="6"/>
  <c r="I6" i="6"/>
  <c r="I187" i="6"/>
  <c r="I100" i="6"/>
  <c r="I181" i="6"/>
  <c r="I103" i="6"/>
  <c r="I30" i="6"/>
  <c r="I63" i="6"/>
  <c r="I145" i="6"/>
  <c r="I168" i="6"/>
  <c r="I55" i="6"/>
  <c r="I149" i="6"/>
  <c r="I128" i="6"/>
  <c r="I144" i="6"/>
  <c r="I164" i="6"/>
  <c r="I113" i="6"/>
  <c r="I76" i="6"/>
  <c r="I14" i="6"/>
  <c r="I120" i="6"/>
  <c r="I50" i="6"/>
  <c r="I32" i="6"/>
  <c r="I133" i="6"/>
  <c r="I98" i="6"/>
  <c r="I35" i="6"/>
  <c r="I186" i="6"/>
  <c r="I123" i="6"/>
  <c r="I9" i="6"/>
  <c r="I184" i="6"/>
  <c r="I74" i="6"/>
  <c r="I117" i="6"/>
  <c r="I158" i="6"/>
  <c r="I177" i="6"/>
  <c r="I155" i="6"/>
  <c r="I147" i="6"/>
  <c r="I16" i="6"/>
  <c r="I28" i="6"/>
  <c r="I115" i="6"/>
  <c r="I57" i="6"/>
  <c r="I47" i="6"/>
  <c r="I24" i="6"/>
  <c r="I29" i="6"/>
  <c r="I82" i="6"/>
  <c r="I118" i="6"/>
  <c r="I154" i="6"/>
  <c r="I169" i="6"/>
  <c r="I17" i="6"/>
  <c r="I194" i="6"/>
  <c r="I192" i="6"/>
  <c r="I4" i="6"/>
  <c r="I68" i="6"/>
  <c r="I161" i="6"/>
  <c r="I148" i="6"/>
  <c r="I87" i="6"/>
  <c r="I15" i="6"/>
  <c r="I106" i="6"/>
  <c r="I93" i="6"/>
  <c r="I151" i="6"/>
  <c r="I152" i="6"/>
  <c r="I110" i="6"/>
  <c r="I200" i="6"/>
  <c r="I122" i="6"/>
  <c r="I159" i="6"/>
  <c r="I112" i="6"/>
  <c r="I196" i="6"/>
  <c r="I139" i="6"/>
  <c r="I38" i="6"/>
  <c r="I189" i="6"/>
  <c r="I79" i="6"/>
  <c r="I37" i="6"/>
  <c r="I13" i="6"/>
  <c r="I102" i="6"/>
  <c r="I61" i="6"/>
  <c r="I171" i="6"/>
  <c r="I190" i="6"/>
  <c r="I108" i="6"/>
  <c r="I138" i="6"/>
  <c r="I172" i="6"/>
  <c r="I81" i="6"/>
  <c r="I39" i="6"/>
  <c r="I62" i="6"/>
  <c r="I183" i="6"/>
  <c r="I142" i="6"/>
  <c r="I12" i="6"/>
  <c r="I162" i="6"/>
  <c r="I199" i="6"/>
  <c r="I11" i="6"/>
  <c r="I124" i="6"/>
  <c r="I73" i="6"/>
  <c r="I84" i="6"/>
  <c r="I49" i="6"/>
  <c r="I3" i="6"/>
  <c r="I197" i="6"/>
  <c r="I65" i="6"/>
  <c r="I160" i="6"/>
  <c r="I114" i="6"/>
  <c r="I143" i="6"/>
  <c r="I72" i="6"/>
  <c r="I86" i="6"/>
  <c r="I21" i="6"/>
  <c r="I19" i="6"/>
  <c r="I83" i="6"/>
  <c r="I58" i="6"/>
  <c r="I105" i="6"/>
  <c r="I182" i="6"/>
  <c r="I170" i="6"/>
  <c r="I96" i="6"/>
  <c r="I156" i="6"/>
  <c r="I36" i="6"/>
  <c r="I59" i="6"/>
  <c r="I109" i="6"/>
  <c r="I111" i="6"/>
  <c r="I163" i="6"/>
  <c r="I167" i="6"/>
  <c r="I94" i="6"/>
  <c r="I42" i="6"/>
  <c r="I8" i="6"/>
  <c r="I191" i="6"/>
  <c r="I33" i="6"/>
  <c r="I44" i="6"/>
  <c r="I60" i="6"/>
  <c r="I64" i="6"/>
  <c r="I119" i="6"/>
  <c r="I18" i="6"/>
  <c r="I26" i="6"/>
  <c r="I90" i="6"/>
  <c r="I141" i="6"/>
  <c r="I2" i="6"/>
  <c r="I176" i="6"/>
  <c r="I48" i="6"/>
  <c r="I174" i="6"/>
  <c r="I185" i="6"/>
  <c r="I153" i="6"/>
  <c r="I70" i="6"/>
  <c r="I137" i="6"/>
  <c r="I41" i="6"/>
  <c r="I180" i="6"/>
  <c r="I127" i="6"/>
  <c r="I179" i="6"/>
  <c r="I20" i="6"/>
  <c r="I51" i="6"/>
  <c r="I22" i="6"/>
  <c r="I23" i="6"/>
  <c r="I52" i="6"/>
  <c r="I104" i="6"/>
  <c r="E20" i="3"/>
  <c r="E15" i="3"/>
  <c r="T12" i="3"/>
  <c r="E33" i="3"/>
  <c r="M14" i="3"/>
  <c r="M13" i="3"/>
  <c r="M11" i="3"/>
  <c r="M12" i="3"/>
  <c r="M10" i="3"/>
  <c r="M19" i="3"/>
  <c r="M17" i="3"/>
  <c r="E18" i="3"/>
  <c r="T9" i="3"/>
  <c r="T11" i="3"/>
  <c r="T10" i="3"/>
  <c r="E31" i="3"/>
  <c r="G9" i="3"/>
  <c r="E16" i="3"/>
  <c r="G14" i="3"/>
  <c r="N14" i="3" s="1"/>
  <c r="C19" i="3"/>
  <c r="E19" i="3" s="1"/>
  <c r="C9" i="3"/>
  <c r="D9" i="3" s="1"/>
  <c r="E9" i="3" s="1"/>
  <c r="E12" i="3"/>
  <c r="C17" i="3"/>
  <c r="G17" i="3" s="1"/>
  <c r="N17" i="3" s="1"/>
  <c r="C13" i="3"/>
  <c r="G13" i="3" s="1"/>
  <c r="N13" i="3" s="1"/>
  <c r="C10" i="3"/>
  <c r="G10" i="3" s="1"/>
  <c r="N10" i="3" s="1"/>
  <c r="E35" i="3"/>
  <c r="F2" i="3"/>
  <c r="H31" i="3" s="1"/>
  <c r="F31" i="3" s="1"/>
  <c r="J31" i="3" s="1"/>
  <c r="E34" i="3"/>
  <c r="E32" i="3"/>
  <c r="F5" i="3"/>
  <c r="F16" i="3" s="1"/>
  <c r="F20" i="3" l="1"/>
  <c r="F15" i="3"/>
  <c r="F9" i="3"/>
  <c r="B3" i="3"/>
  <c r="F18" i="3"/>
  <c r="K9" i="3"/>
  <c r="G19" i="3"/>
  <c r="N19" i="3" s="1"/>
  <c r="F14" i="3"/>
  <c r="E13" i="3"/>
  <c r="E10" i="3"/>
  <c r="K13" i="3"/>
  <c r="E17" i="3"/>
  <c r="E14" i="3"/>
  <c r="G11" i="3"/>
  <c r="N11" i="3" s="1"/>
  <c r="E11" i="3"/>
  <c r="K14" i="3"/>
  <c r="K10" i="3"/>
  <c r="K12" i="3"/>
  <c r="G12" i="3"/>
  <c r="N12" i="3" s="1"/>
  <c r="K17" i="3"/>
  <c r="K31" i="3"/>
  <c r="F17" i="3"/>
  <c r="F19" i="3"/>
  <c r="F13" i="3"/>
  <c r="F10" i="3"/>
  <c r="F12" i="3"/>
  <c r="F11" i="3"/>
  <c r="J9" i="3" l="1"/>
  <c r="J36" i="3" s="1"/>
  <c r="K36" i="3" s="1"/>
  <c r="U12" i="3"/>
  <c r="K11" i="3"/>
  <c r="K19" i="3"/>
  <c r="F36" i="3"/>
</calcChain>
</file>

<file path=xl/sharedStrings.xml><?xml version="1.0" encoding="utf-8"?>
<sst xmlns="http://schemas.openxmlformats.org/spreadsheetml/2006/main" count="84" uniqueCount="76">
  <si>
    <t>EUR</t>
  </si>
  <si>
    <t>XXBT</t>
  </si>
  <si>
    <t>XXBTZUSD</t>
  </si>
  <si>
    <t>XXRP</t>
  </si>
  <si>
    <t>XXRPXXBT</t>
  </si>
  <si>
    <t>XETH</t>
  </si>
  <si>
    <t>XETHXXBT</t>
  </si>
  <si>
    <t>XLTC</t>
  </si>
  <si>
    <t>XLTCXXBT</t>
  </si>
  <si>
    <t>XTZ</t>
  </si>
  <si>
    <t>XTZXBT</t>
  </si>
  <si>
    <t>EOS</t>
  </si>
  <si>
    <t>EOSXBT</t>
  </si>
  <si>
    <t>ZEURZUSD</t>
  </si>
  <si>
    <t>Ticker</t>
  </si>
  <si>
    <t>Time</t>
  </si>
  <si>
    <t>Type</t>
  </si>
  <si>
    <t>Volume</t>
  </si>
  <si>
    <t>Price</t>
  </si>
  <si>
    <t>Cost</t>
  </si>
  <si>
    <t>Fee</t>
  </si>
  <si>
    <t>GBP</t>
  </si>
  <si>
    <t>ZGBPZUSD</t>
  </si>
  <si>
    <t>Crypto</t>
  </si>
  <si>
    <t>GBP conversion</t>
  </si>
  <si>
    <t>XBT</t>
  </si>
  <si>
    <t>Balance</t>
  </si>
  <si>
    <t>Price Buy</t>
  </si>
  <si>
    <t>Price Now</t>
  </si>
  <si>
    <t>Amount</t>
  </si>
  <si>
    <t>RUB Spare</t>
  </si>
  <si>
    <t>RUB RCB</t>
  </si>
  <si>
    <t>RUB Revolut</t>
  </si>
  <si>
    <t>EURGBP</t>
  </si>
  <si>
    <t>RUBEUR</t>
  </si>
  <si>
    <t>Value EUR</t>
  </si>
  <si>
    <t>XETC</t>
  </si>
  <si>
    <t>XETCXXBT</t>
  </si>
  <si>
    <t>TOTAL:</t>
  </si>
  <si>
    <t>Currency</t>
  </si>
  <si>
    <t>&lt;&lt;&lt;</t>
  </si>
  <si>
    <t>Value USD</t>
  </si>
  <si>
    <t>Current Value</t>
  </si>
  <si>
    <t>ATOM</t>
  </si>
  <si>
    <t>ATOMXBT</t>
  </si>
  <si>
    <t>USD/EUR</t>
  </si>
  <si>
    <t>EUR/USD</t>
  </si>
  <si>
    <t>USD/GBP</t>
  </si>
  <si>
    <t>RUB/EUR</t>
  </si>
  <si>
    <t>EUR/GBP</t>
  </si>
  <si>
    <t>Fee &gt;&gt;&gt;</t>
  </si>
  <si>
    <t>DASH</t>
  </si>
  <si>
    <t>DASHXBT</t>
  </si>
  <si>
    <t>BUY</t>
  </si>
  <si>
    <t>SELL</t>
  </si>
  <si>
    <t>Pair</t>
  </si>
  <si>
    <t>Asset</t>
  </si>
  <si>
    <t>Market</t>
  </si>
  <si>
    <t>RND</t>
  </si>
  <si>
    <t>LINK</t>
  </si>
  <si>
    <t>LINKXBT</t>
  </si>
  <si>
    <t>Weekly performance</t>
  </si>
  <si>
    <t>Date</t>
  </si>
  <si>
    <t>Trading</t>
  </si>
  <si>
    <t>Profit and Loss</t>
  </si>
  <si>
    <t>Price Y Min</t>
  </si>
  <si>
    <t>RUB Roma</t>
  </si>
  <si>
    <t>TRX</t>
  </si>
  <si>
    <t>TRXXBT</t>
  </si>
  <si>
    <t>KAVA</t>
  </si>
  <si>
    <t>KAVAXBT</t>
  </si>
  <si>
    <t>Base</t>
  </si>
  <si>
    <t>Abs</t>
  </si>
  <si>
    <t>Week</t>
  </si>
  <si>
    <t>XXBTZEUR</t>
  </si>
  <si>
    <t>XETHZUSD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</si>
</sst>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00"/>
    <numFmt numFmtId="166" formatCode="0.00000000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6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6" tint="0.59999389629810485"/>
      </patternFill>
    </fill>
    <fill>
      <patternFill patternType="solid">
        <fgColor theme="5" tint="0.39997558519241921"/>
        <bgColor theme="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4">
    <xf numFmtId="0" fontId="0" fillId="0" borderId="0" xfId="0"/>
    <xf numFmtId="2" fontId="0" fillId="0" borderId="0" xfId="0" applyNumberFormat="1"/>
    <xf numFmtId="0" fontId="0" fillId="0" borderId="0" xfId="0" applyAlignment="1"/>
    <xf numFmtId="0" fontId="0" fillId="0" borderId="0" xfId="0" applyBorder="1"/>
    <xf numFmtId="2" fontId="0" fillId="0" borderId="0" xfId="0" applyNumberFormat="1" applyBorder="1"/>
    <xf numFmtId="165" fontId="0" fillId="0" borderId="5" xfId="0" applyNumberFormat="1" applyBorder="1"/>
    <xf numFmtId="2" fontId="0" fillId="0" borderId="0" xfId="0" applyNumberFormat="1" applyFill="1" applyBorder="1"/>
    <xf numFmtId="0" fontId="0" fillId="0" borderId="0" xfId="0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0" borderId="0" xfId="0" applyBorder="1" applyAlignment="1"/>
    <xf numFmtId="0" fontId="0" fillId="0" borderId="8" xfId="0" applyBorder="1"/>
    <xf numFmtId="0" fontId="0" fillId="0" borderId="9" xfId="0" applyBorder="1"/>
    <xf numFmtId="165" fontId="0" fillId="0" borderId="9" xfId="0" applyNumberFormat="1" applyBorder="1"/>
    <xf numFmtId="165" fontId="0" fillId="0" borderId="10" xfId="0" applyNumberFormat="1" applyBorder="1"/>
    <xf numFmtId="0" fontId="0" fillId="0" borderId="4" xfId="0" applyBorder="1"/>
    <xf numFmtId="165" fontId="0" fillId="0" borderId="0" xfId="0" applyNumberFormat="1" applyBorder="1"/>
    <xf numFmtId="0" fontId="0" fillId="0" borderId="6" xfId="0" applyBorder="1"/>
    <xf numFmtId="0" fontId="0" fillId="0" borderId="7" xfId="0" applyBorder="1"/>
    <xf numFmtId="165" fontId="0" fillId="0" borderId="7" xfId="0" applyNumberFormat="1" applyBorder="1"/>
    <xf numFmtId="165" fontId="0" fillId="0" borderId="11" xfId="0" applyNumberFormat="1" applyBorder="1"/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5" fontId="3" fillId="3" borderId="2" xfId="0" applyNumberFormat="1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Border="1" applyAlignment="1"/>
    <xf numFmtId="10" fontId="0" fillId="0" borderId="0" xfId="0" applyNumberFormat="1" applyFont="1" applyBorder="1" applyAlignment="1"/>
    <xf numFmtId="2" fontId="3" fillId="0" borderId="0" xfId="0" applyNumberFormat="1" applyFont="1" applyFill="1" applyBorder="1"/>
    <xf numFmtId="1" fontId="0" fillId="0" borderId="0" xfId="0" applyNumberFormat="1" applyBorder="1"/>
    <xf numFmtId="0" fontId="4" fillId="0" borderId="0" xfId="0" applyFont="1"/>
    <xf numFmtId="14" fontId="5" fillId="4" borderId="1" xfId="0" applyNumberFormat="1" applyFont="1" applyFill="1" applyBorder="1" applyAlignment="1">
      <alignment horizontal="center"/>
    </xf>
    <xf numFmtId="2" fontId="2" fillId="4" borderId="12" xfId="0" applyNumberFormat="1" applyFont="1" applyFill="1" applyBorder="1" applyAlignment="1">
      <alignment horizontal="center"/>
    </xf>
    <xf numFmtId="2" fontId="2" fillId="4" borderId="3" xfId="0" applyNumberFormat="1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0" borderId="0" xfId="0" applyFill="1" applyBorder="1"/>
    <xf numFmtId="2" fontId="0" fillId="6" borderId="0" xfId="0" applyNumberFormat="1" applyFill="1" applyBorder="1"/>
    <xf numFmtId="0" fontId="0" fillId="6" borderId="0" xfId="0" applyFill="1"/>
    <xf numFmtId="2" fontId="0" fillId="0" borderId="25" xfId="0" applyNumberFormat="1" applyBorder="1"/>
    <xf numFmtId="10" fontId="2" fillId="0" borderId="0" xfId="0" applyNumberFormat="1" applyFont="1" applyFill="1" applyBorder="1" applyAlignment="1"/>
    <xf numFmtId="164" fontId="3" fillId="2" borderId="23" xfId="0" applyNumberFormat="1" applyFont="1" applyFill="1" applyBorder="1"/>
    <xf numFmtId="2" fontId="0" fillId="0" borderId="0" xfId="0" applyNumberFormat="1" applyAlignment="1"/>
    <xf numFmtId="0" fontId="0" fillId="0" borderId="13" xfId="0" applyBorder="1"/>
    <xf numFmtId="166" fontId="0" fillId="0" borderId="13" xfId="0" applyNumberFormat="1" applyBorder="1"/>
    <xf numFmtId="165" fontId="0" fillId="0" borderId="13" xfId="0" applyNumberFormat="1" applyFont="1" applyFill="1" applyBorder="1"/>
    <xf numFmtId="0" fontId="0" fillId="0" borderId="14" xfId="0" applyBorder="1"/>
    <xf numFmtId="2" fontId="2" fillId="4" borderId="1" xfId="0" applyNumberFormat="1" applyFont="1" applyFill="1" applyBorder="1" applyAlignment="1">
      <alignment horizontal="center"/>
    </xf>
    <xf numFmtId="166" fontId="0" fillId="0" borderId="30" xfId="0" applyNumberFormat="1" applyBorder="1"/>
    <xf numFmtId="10" fontId="2" fillId="7" borderId="24" xfId="0" applyNumberFormat="1" applyFont="1" applyFill="1" applyBorder="1" applyAlignment="1"/>
    <xf numFmtId="2" fontId="2" fillId="4" borderId="26" xfId="0" applyNumberFormat="1" applyFont="1" applyFill="1" applyBorder="1" applyAlignment="1">
      <alignment horizontal="center"/>
    </xf>
    <xf numFmtId="2" fontId="2" fillId="4" borderId="10" xfId="0" applyNumberFormat="1" applyFont="1" applyFill="1" applyBorder="1" applyAlignment="1">
      <alignment horizontal="center"/>
    </xf>
    <xf numFmtId="2" fontId="0" fillId="9" borderId="16" xfId="0" applyNumberFormat="1" applyFill="1" applyBorder="1"/>
    <xf numFmtId="164" fontId="3" fillId="9" borderId="18" xfId="0" applyNumberFormat="1" applyFont="1" applyFill="1" applyBorder="1"/>
    <xf numFmtId="2" fontId="0" fillId="9" borderId="14" xfId="0" applyNumberFormat="1" applyFill="1" applyBorder="1"/>
    <xf numFmtId="164" fontId="3" fillId="9" borderId="15" xfId="0" applyNumberFormat="1" applyFont="1" applyFill="1" applyBorder="1"/>
    <xf numFmtId="2" fontId="0" fillId="9" borderId="19" xfId="0" applyNumberFormat="1" applyFill="1" applyBorder="1"/>
    <xf numFmtId="164" fontId="3" fillId="9" borderId="21" xfId="0" applyNumberFormat="1" applyFont="1" applyFill="1" applyBorder="1"/>
    <xf numFmtId="10" fontId="2" fillId="7" borderId="33" xfId="0" applyNumberFormat="1" applyFont="1" applyFill="1" applyBorder="1" applyAlignment="1"/>
    <xf numFmtId="0" fontId="3" fillId="6" borderId="35" xfId="0" applyFont="1" applyFill="1" applyBorder="1"/>
    <xf numFmtId="0" fontId="3" fillId="6" borderId="7" xfId="0" applyFont="1" applyFill="1" applyBorder="1"/>
    <xf numFmtId="2" fontId="3" fillId="6" borderId="7" xfId="0" applyNumberFormat="1" applyFont="1" applyFill="1" applyBorder="1" applyAlignment="1"/>
    <xf numFmtId="2" fontId="3" fillId="6" borderId="7" xfId="0" applyNumberFormat="1" applyFont="1" applyFill="1" applyBorder="1"/>
    <xf numFmtId="0" fontId="6" fillId="10" borderId="36" xfId="0" applyFont="1" applyFill="1" applyBorder="1"/>
    <xf numFmtId="0" fontId="6" fillId="10" borderId="37" xfId="0" applyFont="1" applyFill="1" applyBorder="1"/>
    <xf numFmtId="165" fontId="6" fillId="11" borderId="37" xfId="0" applyNumberFormat="1" applyFont="1" applyFill="1" applyBorder="1"/>
    <xf numFmtId="165" fontId="6" fillId="10" borderId="37" xfId="0" applyNumberFormat="1" applyFont="1" applyFill="1" applyBorder="1"/>
    <xf numFmtId="2" fontId="6" fillId="10" borderId="37" xfId="0" applyNumberFormat="1" applyFont="1" applyFill="1" applyBorder="1" applyAlignment="1"/>
    <xf numFmtId="1" fontId="6" fillId="10" borderId="37" xfId="0" applyNumberFormat="1" applyFont="1" applyFill="1" applyBorder="1"/>
    <xf numFmtId="1" fontId="6" fillId="10" borderId="38" xfId="0" applyNumberFormat="1" applyFont="1" applyFill="1" applyBorder="1"/>
    <xf numFmtId="2" fontId="3" fillId="3" borderId="40" xfId="0" applyNumberFormat="1" applyFont="1" applyFill="1" applyBorder="1"/>
    <xf numFmtId="2" fontId="3" fillId="3" borderId="23" xfId="0" applyNumberFormat="1" applyFont="1" applyFill="1" applyBorder="1"/>
    <xf numFmtId="2" fontId="3" fillId="3" borderId="31" xfId="0" applyNumberFormat="1" applyFont="1" applyFill="1" applyBorder="1"/>
    <xf numFmtId="2" fontId="3" fillId="3" borderId="24" xfId="0" applyNumberFormat="1" applyFont="1" applyFill="1" applyBorder="1"/>
    <xf numFmtId="0" fontId="3" fillId="0" borderId="0" xfId="0" applyFont="1" applyBorder="1"/>
    <xf numFmtId="2" fontId="3" fillId="0" borderId="0" xfId="0" applyNumberFormat="1" applyFont="1" applyBorder="1"/>
    <xf numFmtId="164" fontId="3" fillId="0" borderId="0" xfId="0" applyNumberFormat="1" applyFont="1" applyBorder="1"/>
    <xf numFmtId="2" fontId="2" fillId="0" borderId="0" xfId="0" applyNumberFormat="1" applyFont="1" applyFill="1" applyBorder="1" applyAlignment="1">
      <alignment horizontal="center"/>
    </xf>
    <xf numFmtId="10" fontId="3" fillId="0" borderId="0" xfId="0" applyNumberFormat="1" applyFont="1" applyFill="1" applyBorder="1"/>
    <xf numFmtId="2" fontId="0" fillId="9" borderId="28" xfId="0" applyNumberFormat="1" applyFill="1" applyBorder="1"/>
    <xf numFmtId="164" fontId="3" fillId="9" borderId="41" xfId="0" applyNumberFormat="1" applyFont="1" applyFill="1" applyBorder="1"/>
    <xf numFmtId="0" fontId="3" fillId="0" borderId="0" xfId="0" applyFont="1" applyFill="1" applyBorder="1"/>
    <xf numFmtId="164" fontId="3" fillId="0" borderId="0" xfId="0" applyNumberFormat="1" applyFont="1" applyFill="1" applyBorder="1"/>
    <xf numFmtId="164" fontId="3" fillId="5" borderId="12" xfId="0" applyNumberFormat="1" applyFont="1" applyFill="1" applyBorder="1"/>
    <xf numFmtId="2" fontId="0" fillId="0" borderId="13" xfId="0" applyNumberFormat="1" applyBorder="1" applyAlignment="1"/>
    <xf numFmtId="2" fontId="3" fillId="2" borderId="32" xfId="0" applyNumberFormat="1" applyFont="1" applyFill="1" applyBorder="1"/>
    <xf numFmtId="2" fontId="3" fillId="5" borderId="3" xfId="0" applyNumberFormat="1" applyFont="1" applyFill="1" applyBorder="1"/>
    <xf numFmtId="0" fontId="3" fillId="2" borderId="23" xfId="0" applyFont="1" applyFill="1" applyBorder="1"/>
    <xf numFmtId="0" fontId="3" fillId="5" borderId="12" xfId="0" applyFont="1" applyFill="1" applyBorder="1"/>
    <xf numFmtId="2" fontId="6" fillId="3" borderId="26" xfId="0" applyNumberFormat="1" applyFont="1" applyFill="1" applyBorder="1"/>
    <xf numFmtId="0" fontId="0" fillId="0" borderId="42" xfId="0" applyBorder="1"/>
    <xf numFmtId="0" fontId="0" fillId="0" borderId="12" xfId="0" applyBorder="1" applyAlignment="1">
      <alignment horizontal="center"/>
    </xf>
    <xf numFmtId="0" fontId="0" fillId="0" borderId="42" xfId="0" applyBorder="1" applyAlignment="1">
      <alignment horizontal="center"/>
    </xf>
    <xf numFmtId="2" fontId="2" fillId="13" borderId="12" xfId="0" applyNumberFormat="1" applyFont="1" applyFill="1" applyBorder="1" applyAlignment="1">
      <alignment horizontal="center"/>
    </xf>
    <xf numFmtId="10" fontId="0" fillId="0" borderId="42" xfId="0" applyNumberFormat="1" applyBorder="1"/>
    <xf numFmtId="166" fontId="8" fillId="10" borderId="23" xfId="0" applyNumberFormat="1" applyFont="1" applyFill="1" applyBorder="1"/>
    <xf numFmtId="0" fontId="0" fillId="0" borderId="23" xfId="0" applyBorder="1" applyAlignment="1">
      <alignment horizontal="center"/>
    </xf>
    <xf numFmtId="0" fontId="0" fillId="0" borderId="31" xfId="0" applyBorder="1" applyAlignment="1">
      <alignment horizontal="center"/>
    </xf>
    <xf numFmtId="0" fontId="10" fillId="0" borderId="0" xfId="0" applyFont="1"/>
    <xf numFmtId="0" fontId="9" fillId="17" borderId="12" xfId="0" applyFont="1" applyFill="1" applyBorder="1" applyAlignment="1">
      <alignment horizontal="center"/>
    </xf>
    <xf numFmtId="166" fontId="8" fillId="10" borderId="31" xfId="0" applyNumberFormat="1" applyFont="1" applyFill="1" applyBorder="1"/>
    <xf numFmtId="14" fontId="0" fillId="6" borderId="0" xfId="0" applyNumberFormat="1" applyFill="1"/>
    <xf numFmtId="14" fontId="0" fillId="0" borderId="25" xfId="0" applyNumberFormat="1" applyBorder="1"/>
    <xf numFmtId="2" fontId="0" fillId="0" borderId="25" xfId="0" applyNumberFormat="1" applyFill="1" applyBorder="1"/>
    <xf numFmtId="2" fontId="0" fillId="5" borderId="27" xfId="0" applyNumberFormat="1" applyFill="1" applyBorder="1" applyAlignment="1"/>
    <xf numFmtId="0" fontId="0" fillId="5" borderId="14" xfId="0" applyFill="1" applyBorder="1"/>
    <xf numFmtId="0" fontId="0" fillId="5" borderId="13" xfId="0" applyFill="1" applyBorder="1"/>
    <xf numFmtId="165" fontId="0" fillId="5" borderId="13" xfId="0" applyNumberFormat="1" applyFill="1" applyBorder="1"/>
    <xf numFmtId="166" fontId="0" fillId="5" borderId="13" xfId="0" applyNumberFormat="1" applyFill="1" applyBorder="1"/>
    <xf numFmtId="165" fontId="0" fillId="5" borderId="13" xfId="0" applyNumberFormat="1" applyFont="1" applyFill="1" applyBorder="1"/>
    <xf numFmtId="165" fontId="3" fillId="8" borderId="13" xfId="0" applyNumberFormat="1" applyFont="1" applyFill="1" applyBorder="1"/>
    <xf numFmtId="165" fontId="3" fillId="8" borderId="29" xfId="0" applyNumberFormat="1" applyFont="1" applyFill="1" applyBorder="1"/>
    <xf numFmtId="2" fontId="3" fillId="6" borderId="17" xfId="0" applyNumberFormat="1" applyFont="1" applyFill="1" applyBorder="1"/>
    <xf numFmtId="2" fontId="3" fillId="6" borderId="13" xfId="0" applyNumberFormat="1" applyFont="1" applyFill="1" applyBorder="1"/>
    <xf numFmtId="2" fontId="3" fillId="6" borderId="20" xfId="0" applyNumberFormat="1" applyFont="1" applyFill="1" applyBorder="1"/>
    <xf numFmtId="0" fontId="0" fillId="18" borderId="14" xfId="0" applyFill="1" applyBorder="1"/>
    <xf numFmtId="0" fontId="0" fillId="18" borderId="13" xfId="0" applyFill="1" applyBorder="1"/>
    <xf numFmtId="0" fontId="0" fillId="18" borderId="28" xfId="0" applyFill="1" applyBorder="1"/>
    <xf numFmtId="0" fontId="0" fillId="18" borderId="29" xfId="0" applyFill="1" applyBorder="1"/>
    <xf numFmtId="165" fontId="0" fillId="18" borderId="13" xfId="0" applyNumberFormat="1" applyFont="1" applyFill="1" applyBorder="1"/>
    <xf numFmtId="2" fontId="0" fillId="18" borderId="27" xfId="0" applyNumberFormat="1" applyFill="1" applyBorder="1" applyAlignment="1"/>
    <xf numFmtId="166" fontId="0" fillId="18" borderId="13" xfId="0" applyNumberFormat="1" applyFill="1" applyBorder="1"/>
    <xf numFmtId="166" fontId="0" fillId="18" borderId="30" xfId="0" applyNumberFormat="1" applyFill="1" applyBorder="1"/>
    <xf numFmtId="164" fontId="0" fillId="0" borderId="13" xfId="0" applyNumberFormat="1" applyBorder="1"/>
    <xf numFmtId="14" fontId="0" fillId="0" borderId="16" xfId="0" applyNumberFormat="1" applyBorder="1"/>
    <xf numFmtId="164" fontId="0" fillId="0" borderId="17" xfId="0" applyNumberFormat="1" applyBorder="1"/>
    <xf numFmtId="14" fontId="0" fillId="0" borderId="14" xfId="0" applyNumberFormat="1" applyBorder="1"/>
    <xf numFmtId="0" fontId="0" fillId="0" borderId="19" xfId="0" applyBorder="1"/>
    <xf numFmtId="0" fontId="0" fillId="0" borderId="20" xfId="0" applyBorder="1"/>
    <xf numFmtId="1" fontId="0" fillId="0" borderId="22" xfId="0" applyNumberFormat="1" applyBorder="1"/>
    <xf numFmtId="1" fontId="0" fillId="0" borderId="30" xfId="0" applyNumberFormat="1" applyBorder="1"/>
    <xf numFmtId="0" fontId="0" fillId="0" borderId="30" xfId="0" applyBorder="1"/>
    <xf numFmtId="0" fontId="0" fillId="0" borderId="39" xfId="0" applyBorder="1"/>
    <xf numFmtId="10" fontId="2" fillId="7" borderId="23" xfId="0" applyNumberFormat="1" applyFont="1" applyFill="1" applyBorder="1" applyAlignment="1"/>
    <xf numFmtId="10" fontId="2" fillId="7" borderId="31" xfId="0" applyNumberFormat="1" applyFont="1" applyFill="1" applyBorder="1" applyAlignment="1"/>
    <xf numFmtId="0" fontId="11" fillId="0" borderId="0" xfId="0" applyFont="1"/>
    <xf numFmtId="164" fontId="4" fillId="9" borderId="15" xfId="0" applyNumberFormat="1" applyFont="1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4" xfId="0" applyFill="1" applyBorder="1"/>
    <xf numFmtId="0" fontId="0" fillId="9" borderId="13" xfId="0" applyFill="1" applyBorder="1"/>
    <xf numFmtId="0" fontId="0" fillId="9" borderId="19" xfId="0" applyFill="1" applyBorder="1"/>
    <xf numFmtId="0" fontId="0" fillId="9" borderId="20" xfId="0" applyFill="1" applyBorder="1"/>
    <xf numFmtId="2" fontId="0" fillId="9" borderId="17" xfId="0" applyNumberFormat="1" applyFont="1" applyFill="1" applyBorder="1" applyAlignment="1"/>
    <xf numFmtId="2" fontId="0" fillId="9" borderId="17" xfId="0" applyNumberFormat="1" applyFill="1" applyBorder="1"/>
    <xf numFmtId="164" fontId="0" fillId="9" borderId="17" xfId="0" applyNumberFormat="1" applyFill="1" applyBorder="1"/>
    <xf numFmtId="164" fontId="0" fillId="9" borderId="22" xfId="0" applyNumberFormat="1" applyFill="1" applyBorder="1"/>
    <xf numFmtId="2" fontId="0" fillId="9" borderId="13" xfId="0" applyNumberFormat="1" applyFont="1" applyFill="1" applyBorder="1" applyAlignment="1"/>
    <xf numFmtId="2" fontId="0" fillId="9" borderId="13" xfId="0" applyNumberFormat="1" applyFill="1" applyBorder="1"/>
    <xf numFmtId="164" fontId="0" fillId="9" borderId="13" xfId="0" applyNumberFormat="1" applyFill="1" applyBorder="1"/>
    <xf numFmtId="164" fontId="0" fillId="9" borderId="30" xfId="0" applyNumberFormat="1" applyFill="1" applyBorder="1"/>
    <xf numFmtId="2" fontId="0" fillId="9" borderId="20" xfId="0" applyNumberFormat="1" applyFill="1" applyBorder="1" applyAlignment="1"/>
    <xf numFmtId="2" fontId="0" fillId="9" borderId="20" xfId="0" applyNumberFormat="1" applyFill="1" applyBorder="1"/>
    <xf numFmtId="164" fontId="0" fillId="9" borderId="20" xfId="0" applyNumberFormat="1" applyFill="1" applyBorder="1"/>
    <xf numFmtId="164" fontId="0" fillId="9" borderId="39" xfId="0" applyNumberFormat="1" applyFill="1" applyBorder="1"/>
    <xf numFmtId="2" fontId="2" fillId="4" borderId="8" xfId="0" applyNumberFormat="1" applyFont="1" applyFill="1" applyBorder="1" applyAlignment="1">
      <alignment horizontal="center"/>
    </xf>
    <xf numFmtId="10" fontId="0" fillId="18" borderId="31" xfId="0" applyNumberFormat="1" applyFill="1" applyBorder="1"/>
    <xf numFmtId="10" fontId="3" fillId="9" borderId="3" xfId="0" applyNumberFormat="1" applyFont="1" applyFill="1" applyBorder="1"/>
    <xf numFmtId="10" fontId="7" fillId="12" borderId="3" xfId="0" applyNumberFormat="1" applyFont="1" applyFill="1" applyBorder="1" applyAlignment="1"/>
    <xf numFmtId="166" fontId="3" fillId="5" borderId="30" xfId="0" applyNumberFormat="1" applyFont="1" applyFill="1" applyBorder="1"/>
    <xf numFmtId="166" fontId="3" fillId="18" borderId="30" xfId="0" applyNumberFormat="1" applyFont="1" applyFill="1" applyBorder="1"/>
    <xf numFmtId="2" fontId="0" fillId="18" borderId="13" xfId="0" applyNumberFormat="1" applyFill="1" applyBorder="1" applyAlignment="1"/>
    <xf numFmtId="166" fontId="3" fillId="18" borderId="13" xfId="0" applyNumberFormat="1" applyFont="1" applyFill="1" applyBorder="1"/>
    <xf numFmtId="10" fontId="2" fillId="7" borderId="44" xfId="0" applyNumberFormat="1" applyFont="1" applyFill="1" applyBorder="1" applyAlignment="1"/>
    <xf numFmtId="10" fontId="0" fillId="0" borderId="31" xfId="0" applyNumberFormat="1" applyFill="1" applyBorder="1"/>
    <xf numFmtId="0" fontId="0" fillId="0" borderId="29" xfId="0" applyBorder="1"/>
    <xf numFmtId="165" fontId="0" fillId="0" borderId="29" xfId="0" applyNumberFormat="1" applyFont="1" applyFill="1" applyBorder="1"/>
    <xf numFmtId="2" fontId="0" fillId="0" borderId="29" xfId="0" applyNumberFormat="1" applyBorder="1" applyAlignment="1"/>
    <xf numFmtId="166" fontId="0" fillId="0" borderId="29" xfId="0" applyNumberFormat="1" applyBorder="1"/>
    <xf numFmtId="166" fontId="0" fillId="0" borderId="34" xfId="0" applyNumberFormat="1" applyBorder="1"/>
    <xf numFmtId="10" fontId="0" fillId="0" borderId="44" xfId="0" applyNumberFormat="1" applyFill="1" applyBorder="1"/>
    <xf numFmtId="0" fontId="0" fillId="0" borderId="16" xfId="0" applyBorder="1"/>
    <xf numFmtId="0" fontId="0" fillId="0" borderId="17" xfId="0" applyBorder="1"/>
    <xf numFmtId="165" fontId="3" fillId="8" borderId="17" xfId="0" applyNumberFormat="1" applyFont="1" applyFill="1" applyBorder="1"/>
    <xf numFmtId="165" fontId="0" fillId="0" borderId="17" xfId="0" applyNumberFormat="1" applyFont="1" applyFill="1" applyBorder="1"/>
    <xf numFmtId="2" fontId="0" fillId="0" borderId="17" xfId="0" applyNumberFormat="1" applyBorder="1" applyAlignment="1"/>
    <xf numFmtId="166" fontId="0" fillId="0" borderId="17" xfId="0" applyNumberFormat="1" applyBorder="1"/>
    <xf numFmtId="166" fontId="0" fillId="0" borderId="22" xfId="0" applyNumberFormat="1" applyBorder="1"/>
    <xf numFmtId="10" fontId="0" fillId="0" borderId="23" xfId="0" applyNumberFormat="1" applyFill="1" applyBorder="1"/>
    <xf numFmtId="165" fontId="3" fillId="8" borderId="20" xfId="0" applyNumberFormat="1" applyFont="1" applyFill="1" applyBorder="1"/>
    <xf numFmtId="165" fontId="0" fillId="0" borderId="20" xfId="0" applyNumberFormat="1" applyFont="1" applyFill="1" applyBorder="1"/>
    <xf numFmtId="2" fontId="0" fillId="0" borderId="20" xfId="0" applyNumberFormat="1" applyBorder="1" applyAlignment="1"/>
    <xf numFmtId="166" fontId="0" fillId="0" borderId="20" xfId="0" applyNumberFormat="1" applyBorder="1"/>
    <xf numFmtId="166" fontId="0" fillId="0" borderId="39" xfId="0" applyNumberFormat="1" applyBorder="1"/>
    <xf numFmtId="10" fontId="0" fillId="0" borderId="24" xfId="0" applyNumberFormat="1" applyFill="1" applyBorder="1"/>
    <xf numFmtId="0" fontId="0" fillId="18" borderId="27" xfId="0" applyFill="1" applyBorder="1"/>
    <xf numFmtId="165" fontId="0" fillId="18" borderId="27" xfId="0" applyNumberFormat="1" applyFont="1" applyFill="1" applyBorder="1"/>
    <xf numFmtId="166" fontId="0" fillId="18" borderId="27" xfId="0" applyNumberFormat="1" applyFill="1" applyBorder="1"/>
    <xf numFmtId="166" fontId="3" fillId="18" borderId="27" xfId="0" applyNumberFormat="1" applyFont="1" applyFill="1" applyBorder="1"/>
    <xf numFmtId="0" fontId="0" fillId="0" borderId="40" xfId="0" applyBorder="1" applyAlignment="1">
      <alignment horizontal="center"/>
    </xf>
    <xf numFmtId="164" fontId="0" fillId="16" borderId="23" xfId="0" applyNumberFormat="1" applyFill="1" applyBorder="1"/>
    <xf numFmtId="164" fontId="0" fillId="16" borderId="31" xfId="0" applyNumberFormat="1" applyFill="1" applyBorder="1"/>
    <xf numFmtId="164" fontId="0" fillId="16" borderId="40" xfId="0" applyNumberFormat="1" applyFill="1" applyBorder="1"/>
    <xf numFmtId="166" fontId="8" fillId="10" borderId="40" xfId="0" applyNumberFormat="1" applyFont="1" applyFill="1" applyBorder="1"/>
    <xf numFmtId="2" fontId="2" fillId="14" borderId="12" xfId="0" applyNumberFormat="1" applyFont="1" applyFill="1" applyBorder="1" applyAlignment="1">
      <alignment horizontal="center"/>
    </xf>
    <xf numFmtId="166" fontId="8" fillId="15" borderId="23" xfId="0" applyNumberFormat="1" applyFont="1" applyFill="1" applyBorder="1"/>
    <xf numFmtId="166" fontId="8" fillId="15" borderId="31" xfId="0" applyNumberFormat="1" applyFont="1" applyFill="1" applyBorder="1"/>
    <xf numFmtId="166" fontId="8" fillId="15" borderId="40" xfId="0" applyNumberFormat="1" applyFont="1" applyFill="1" applyBorder="1"/>
    <xf numFmtId="0" fontId="0" fillId="5" borderId="16" xfId="0" applyFill="1" applyBorder="1"/>
    <xf numFmtId="0" fontId="0" fillId="5" borderId="17" xfId="0" applyFill="1" applyBorder="1"/>
    <xf numFmtId="165" fontId="0" fillId="5" borderId="17" xfId="0" applyNumberFormat="1" applyFill="1" applyBorder="1"/>
    <xf numFmtId="2" fontId="0" fillId="5" borderId="17" xfId="0" applyNumberFormat="1" applyFill="1" applyBorder="1" applyAlignment="1"/>
    <xf numFmtId="166" fontId="0" fillId="5" borderId="17" xfId="0" applyNumberFormat="1" applyFill="1" applyBorder="1"/>
    <xf numFmtId="166" fontId="3" fillId="5" borderId="22" xfId="0" applyNumberFormat="1" applyFont="1" applyFill="1" applyBorder="1"/>
    <xf numFmtId="166" fontId="0" fillId="5" borderId="18" xfId="0" applyNumberFormat="1" applyFill="1" applyBorder="1"/>
    <xf numFmtId="166" fontId="0" fillId="5" borderId="15" xfId="0" applyNumberFormat="1" applyFill="1" applyBorder="1"/>
    <xf numFmtId="166" fontId="0" fillId="18" borderId="15" xfId="0" applyNumberFormat="1" applyFill="1" applyBorder="1"/>
    <xf numFmtId="166" fontId="0" fillId="18" borderId="45" xfId="0" applyNumberFormat="1" applyFill="1" applyBorder="1"/>
    <xf numFmtId="10" fontId="0" fillId="5" borderId="18" xfId="0" applyNumberFormat="1" applyFill="1" applyBorder="1"/>
    <xf numFmtId="10" fontId="0" fillId="5" borderId="15" xfId="0" applyNumberFormat="1" applyFill="1" applyBorder="1"/>
    <xf numFmtId="10" fontId="0" fillId="18" borderId="15" xfId="0" applyNumberFormat="1" applyFill="1" applyBorder="1"/>
    <xf numFmtId="10" fontId="0" fillId="18" borderId="45" xfId="0" applyNumberFormat="1" applyFill="1" applyBorder="1"/>
    <xf numFmtId="166" fontId="8" fillId="15" borderId="43" xfId="0" applyNumberFormat="1" applyFont="1" applyFill="1" applyBorder="1"/>
    <xf numFmtId="166" fontId="8" fillId="10" borderId="43" xfId="0" applyNumberFormat="1" applyFont="1" applyFill="1" applyBorder="1"/>
    <xf numFmtId="164" fontId="0" fillId="16" borderId="43" xfId="0" applyNumberFormat="1" applyFill="1" applyBorder="1"/>
    <xf numFmtId="0" fontId="0" fillId="0" borderId="43" xfId="0" applyBorder="1" applyAlignment="1">
      <alignment horizontal="center"/>
    </xf>
    <xf numFmtId="1" fontId="0" fillId="0" borderId="18" xfId="0" applyNumberFormat="1" applyBorder="1"/>
    <xf numFmtId="1" fontId="0" fillId="0" borderId="15" xfId="0" applyNumberFormat="1" applyBorder="1"/>
    <xf numFmtId="0" fontId="0" fillId="0" borderId="15" xfId="0" applyBorder="1"/>
    <xf numFmtId="0" fontId="0" fillId="0" borderId="21" xfId="0" applyBorder="1"/>
    <xf numFmtId="164" fontId="3" fillId="0" borderId="27" xfId="0" applyNumberFormat="1" applyFont="1" applyFill="1" applyBorder="1"/>
    <xf numFmtId="164" fontId="0" fillId="0" borderId="20" xfId="0" applyNumberFormat="1" applyBorder="1"/>
  </cellXfs>
  <cellStyles count="1"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1026" name="ButtonPric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4820E6-7638-4D77-98DB-32CBC3A6CD47}">
  <we:reference id="wa104381695" version="1.0.10.0" store="en-001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xmlns=""/>
    </a:ext>
    <a:ext xmlns:a="http://schemas.openxmlformats.org/drawingml/2006/main" uri="{7C84B067-C214-45C3-A712-C9D94CD141B2}">
      <we:customFunctionIdList xmlns="">
        <we:customFunctionIds>_xldudf_CS_TIME</we:customFunctionIds>
        <we:customFunctionIds>_xldudf_CS_LOGIN</we:customFunctionIds>
        <we:customFunctionIds>_xldudf_CS_STATUS</we:customFunctionIds>
        <we:customFunctionIds>_xldudf_CS_QUERY</we:customFunctionIds>
        <we:customFunctionIds>_xldudf_CS_HEALTHCHECK</we:customFunctionIds>
        <we:customFunctionIds>_xldudf_CS_PRICE</we:customFunctionIds>
        <we:customFunctionIds>_xldudf_CS_PARAMETERS</we:customFunctionIds>
        <we:customFunctionIds>_xldudf_CS_EXRATE</we:customFunctionIds>
        <we:customFunctionIds>_xldudf_CS_OHLCV</we:customFunctionIds>
        <we:customFunctionIds>_xldudf_CS_TRADES</we:customFunctionIds>
        <we:customFunctionIds>_xldudf_CS_ORDERBOOKS</we:customFunctionIds>
        <we:customFunctionIds>_xldudf_CS_ADDRESS</we:customFunctionIds>
        <we:customFunctionIds>_xldudf_CS_METRICS</we:customFunctionIds>
        <we:customFunctionIds>_xldudf_CS_IDEAS</we:customFunctionIds>
        <we:customFunctionIds>_xldudf_CS_CHAIN</we:customFunctionIds>
        <we:customFunctionIds>_xldudf_CS_TA</we:customFunctionIds>
        <we:customFunctionIds>_xldudf_CS_ENDPOINTS</we:customFunctionIds>
        <we:customFunctionIds>_xldudf_CS_PROVIDERS</we:customFunctionIds>
        <we:customFunctionIds>_xldudf_CS_EXCHANGES</we:customFunctionIds>
        <we:customFunctionIds>_xldudf_CS_TAMETADATA</we:customFunctionIds>
        <we:customFunctionIds>_xldudf_CS_CLUSTERS</we:customFunctionIds>
        <we:customFunctionIds>_xldudf_CS_ADX</we:customFunctionIds>
        <we:customFunctionIds>_xldudf_CS_SMA</we:customFunctionIds>
        <we:customFunctionIds>_xldudf_CS_ATH</we:customFunctionIds>
        <we:customFunctionIds>_xldudf_CS_RSI</we:customFunctionIds>
        <we:customFunctionIds>_xldudf_CS_SAREXT</we:customFunctionIds>
        <we:customFunctionIds>_xldudf_CS_EXP</we:customFunctionIds>
        <we:customFunctionIds>_xldudf_CS_FLOOR</we:customFunctionIds>
        <we:customFunctionIds>_xldudf_CS_LN</we:customFunctionIds>
        <we:customFunctionIds>_xldudf_CS_EMA</we:customFunctionIds>
        <we:customFunctionIds>_xldudf_CS_ATR</we:customFunctionIds>
        <we:customFunctionIds>_xldudf_CS_MACDEXT</we:customFunctionIds>
        <we:customFunctionIds>_xldudf_CS_MACD</we:customFunctionIds>
        <we:customFunctionIds>_xldudf_CS_MACDFIX</we:customFunctionIds>
        <we:customFunctionIds>_xldudf_CS_MFI</we:customFunctionIds>
        <we:customFunctionIds>_xldudf_CS_BBANDS</we:customFunctionIds>
        <we:customFunctionIds>_xldudf_CS_BETA</we:customFunctionIds>
        <we:customFunctionIds>_xldudf_CS_CCI</we:customFunctionIds>
        <we:customFunctionIds>_xldudf_CS_CORREL</we:customFunctionIds>
        <we:customFunctionIds>_xldudf_CS_DEMA</we:customFunctionIds>
        <we:customFunctionIds>_xldudf_CS_MOM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_xldudf_CS_STOCH</we:customFunctionIds>
        <we:customFunctionIds>_xldudf_CS_TRANGE</we:customFunctionIds>
        <we:customFunctionIds>_xldudf_CS_TSF</we:customFunctionIds>
        <we:customFunctionIds>_xldudf_CS_VARI</we:customFunctionIds>
        <we:customFunctionIds>_xldudf_CS_QUERYA</we:customFunctionIds>
        <we:customFunctionIds>_xldudf_CS_SYMBOLS</we:customFunctionIds>
        <we:customFunctionIds>_xldudf_CS_AROON</we:customFunctionIds>
        <we:customFunctionIds>_xldudf_CS_TEMA</we:customFunctionIds>
        <we:customFunctionIds>_xldudf_CS_TAHIS</we:customFunctionIds>
        <we:customFunctionIds>_xldudf_CS_WILLR</we:customFunctionIds>
        <we:customFunctionIds>_xldudf_CS_LINEARREG</we:customFunctionIds>
        <we:customFunctionIds>_xldudf_CS_T3</we:customFunctionIds>
        <we:customFunctionIds>_xldudf_CS_NATR</we:customFunctionIds>
        <we:customFunctionIds>_xldudf_CS_WMA</we:customFunctionIds>
        <we:customFunctionIds>_xldudf_CS_AROONOSC</we:customFunctionIds>
        <we:customFunctionIds>_xldudf_CS_APO</we:customFunctionIds>
        <we:customFunctionIds>_xldudf_CS_DX</we:customFunctionIds>
        <we:customFunctionIds>_xldudf_CS_ADOSC</we:customFunctionIds>
        <we:customFunctionIds>_xldudf_CS_AD</we:customFunctionIds>
        <we:customFunctionIds>_xldudf_CS_ULTOSC</we:customFunctionIds>
        <we:customFunctionIds>_xldudf_CS_TRIX</we:customFunctionIds>
        <we:customFunctionIds>_xldudf_CS_CDLMARUBOZU</we:customFunctionIds>
        <we:customFunctionIds>_xldudf_CS_CDLINNECK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_xldudf_CS_WCLPRICE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48"/>
  <sheetViews>
    <sheetView tabSelected="1" workbookViewId="0">
      <selection activeCell="F3" sqref="F3"/>
    </sheetView>
  </sheetViews>
  <sheetFormatPr defaultColWidth="8.85546875" defaultRowHeight="15" x14ac:dyDescent="0.25"/>
  <cols>
    <col min="1" max="1" width="13.42578125" bestFit="1" customWidth="1"/>
    <col min="2" max="2" width="11.140625" bestFit="1" customWidth="1"/>
    <col min="3" max="3" width="14.7109375" bestFit="1" customWidth="1"/>
    <col min="4" max="4" width="11.85546875" style="2" bestFit="1" customWidth="1"/>
    <col min="5" max="5" width="10.28515625" bestFit="1" customWidth="1"/>
    <col min="6" max="6" width="10.140625" bestFit="1" customWidth="1"/>
    <col min="7" max="8" width="11.5703125" bestFit="1" customWidth="1"/>
    <col min="9" max="9" width="11.5703125" customWidth="1"/>
    <col min="10" max="10" width="7.28515625" bestFit="1" customWidth="1"/>
    <col min="11" max="11" width="7.7109375" bestFit="1" customWidth="1"/>
    <col min="12" max="12" width="2.7109375" customWidth="1"/>
    <col min="13" max="14" width="12.28515625" customWidth="1"/>
    <col min="15" max="15" width="7.28515625" bestFit="1" customWidth="1"/>
    <col min="16" max="16" width="4.85546875" bestFit="1" customWidth="1"/>
    <col min="17" max="17" width="2.42578125" customWidth="1"/>
    <col min="18" max="18" width="10.5703125" customWidth="1"/>
    <col min="19" max="19" width="6.42578125" customWidth="1"/>
    <col min="20" max="20" width="5.140625" bestFit="1" customWidth="1"/>
    <col min="21" max="21" width="5" bestFit="1" customWidth="1"/>
    <col min="22" max="22" width="6.85546875" bestFit="1" customWidth="1"/>
    <col min="23" max="23" width="7.140625" bestFit="1" customWidth="1"/>
    <col min="24" max="24" width="8.28515625" customWidth="1"/>
    <col min="25" max="25" width="9.7109375" customWidth="1"/>
    <col min="26" max="26" width="9.28515625" customWidth="1"/>
    <col min="27" max="27" width="8.85546875" customWidth="1"/>
    <col min="28" max="30" width="8.5703125" hidden="1" customWidth="1"/>
    <col min="31" max="31" width="10.28515625" customWidth="1"/>
    <col min="32" max="33" width="8.5703125" customWidth="1"/>
    <col min="34" max="34" width="10.42578125" bestFit="1" customWidth="1"/>
    <col min="35" max="36" width="8.5703125" customWidth="1"/>
  </cols>
  <sheetData>
    <row r="1" spans="1:35" ht="15.75" thickBot="1" x14ac:dyDescent="0.3">
      <c r="A1" s="33">
        <f ca="1">TODAY()</f>
        <v>44060</v>
      </c>
      <c r="B1" s="35" t="s">
        <v>0</v>
      </c>
      <c r="C1" s="34" t="s">
        <v>25</v>
      </c>
      <c r="D1" s="28"/>
      <c r="E1" s="52" t="s">
        <v>39</v>
      </c>
      <c r="F1" s="53" t="s">
        <v>18</v>
      </c>
      <c r="G1" s="10"/>
      <c r="J1" s="79"/>
      <c r="K1" s="29"/>
      <c r="L1" s="28"/>
      <c r="M1" s="28"/>
      <c r="N1" s="29"/>
      <c r="O1" s="28"/>
      <c r="P1" s="4"/>
      <c r="Q1" s="29"/>
      <c r="R1" s="3"/>
      <c r="S1" s="4"/>
      <c r="T1" s="29"/>
      <c r="U1" s="29"/>
      <c r="V1" s="3"/>
      <c r="W1" s="4"/>
      <c r="X1" s="29"/>
      <c r="AD1" s="36"/>
      <c r="AE1" s="27"/>
      <c r="AF1" s="37"/>
      <c r="AH1" s="3"/>
      <c r="AI1" s="4"/>
    </row>
    <row r="2" spans="1:35" ht="15.75" thickBot="1" x14ac:dyDescent="0.3">
      <c r="A2" s="89" t="s">
        <v>23</v>
      </c>
      <c r="B2" s="87">
        <v>1500</v>
      </c>
      <c r="C2" s="43">
        <v>0.19420000000000001</v>
      </c>
      <c r="D2"/>
      <c r="E2" s="54" t="s">
        <v>49</v>
      </c>
      <c r="F2" s="55">
        <f>F6/F4</f>
        <v>1.1010417984731538</v>
      </c>
      <c r="J2" s="80"/>
      <c r="X2" s="3"/>
      <c r="Y2" s="30"/>
      <c r="Z2" s="30"/>
      <c r="AE2" s="27"/>
      <c r="AF2" s="27"/>
    </row>
    <row r="3" spans="1:35" ht="15.75" thickBot="1" x14ac:dyDescent="0.3">
      <c r="A3" s="90" t="s">
        <v>42</v>
      </c>
      <c r="B3" s="88">
        <f>C3*H9*EURPrice*(1-K8)</f>
        <v>1960.8967014105897</v>
      </c>
      <c r="C3" s="85">
        <f t="array" ref="C3">_xll.Kraken.GetEquityBalance("XBT")</f>
        <v>0.19154656880000001</v>
      </c>
      <c r="D3"/>
      <c r="E3" s="56" t="s">
        <v>48</v>
      </c>
      <c r="F3" s="138">
        <v>87.07</v>
      </c>
      <c r="G3" s="32" t="s">
        <v>40</v>
      </c>
      <c r="K3" s="38"/>
      <c r="L3" s="38"/>
      <c r="M3" s="38"/>
      <c r="R3" s="38"/>
      <c r="S3" s="38"/>
      <c r="T3" s="38"/>
      <c r="U3" s="38"/>
      <c r="V3" s="38"/>
      <c r="W3" s="38"/>
      <c r="X3" s="38"/>
      <c r="Y3" s="30"/>
      <c r="Z3" s="30"/>
      <c r="AA3" s="38"/>
      <c r="AE3" s="27"/>
    </row>
    <row r="4" spans="1:35" x14ac:dyDescent="0.25">
      <c r="A4" s="83"/>
      <c r="B4" s="30"/>
      <c r="C4" s="84"/>
      <c r="D4"/>
      <c r="E4" s="56" t="s">
        <v>45</v>
      </c>
      <c r="F4" s="57">
        <f>H30</f>
        <v>1.1854499999999999</v>
      </c>
      <c r="K4" s="1"/>
      <c r="L4" s="42"/>
      <c r="M4" s="38"/>
      <c r="R4" s="38"/>
      <c r="S4" s="38"/>
      <c r="T4" s="38"/>
      <c r="U4" s="38"/>
      <c r="V4" s="38"/>
      <c r="W4" s="38"/>
      <c r="X4" s="38"/>
      <c r="Y4" s="38"/>
      <c r="Z4" s="38"/>
      <c r="AA4" s="38"/>
      <c r="AE4" s="27"/>
    </row>
    <row r="5" spans="1:35" x14ac:dyDescent="0.25">
      <c r="A5" s="83"/>
      <c r="B5" s="84"/>
      <c r="C5" s="30"/>
      <c r="D5"/>
      <c r="E5" s="81" t="s">
        <v>46</v>
      </c>
      <c r="F5" s="82">
        <f>1/F4</f>
        <v>0.84356151672360713</v>
      </c>
      <c r="K5" s="1"/>
      <c r="L5" s="42"/>
      <c r="M5" s="38"/>
      <c r="R5" s="38"/>
      <c r="S5" s="38"/>
      <c r="T5" s="38"/>
      <c r="U5" s="38"/>
      <c r="V5" s="38"/>
      <c r="W5" s="38"/>
      <c r="X5" s="38"/>
      <c r="Y5" s="38"/>
      <c r="Z5" s="38"/>
      <c r="AA5" s="38"/>
      <c r="AE5" s="27"/>
    </row>
    <row r="6" spans="1:35" ht="15.75" thickBot="1" x14ac:dyDescent="0.3">
      <c r="A6" s="76"/>
      <c r="B6" s="77"/>
      <c r="C6" s="78"/>
      <c r="D6"/>
      <c r="E6" s="58" t="s">
        <v>47</v>
      </c>
      <c r="F6" s="59">
        <f>H29</f>
        <v>1.3052299999999999</v>
      </c>
      <c r="K6" s="38"/>
      <c r="L6" s="42"/>
      <c r="M6" s="38"/>
      <c r="R6" s="38"/>
      <c r="S6" s="38"/>
      <c r="T6" s="38"/>
      <c r="U6" s="38"/>
      <c r="V6" s="38"/>
      <c r="W6" s="38"/>
      <c r="X6" s="38"/>
      <c r="Y6" s="38"/>
      <c r="Z6" s="38"/>
      <c r="AA6" s="38"/>
      <c r="AE6" s="27"/>
    </row>
    <row r="7" spans="1:35" ht="15.75" thickBot="1" x14ac:dyDescent="0.3">
      <c r="A7" s="137" t="s">
        <v>64</v>
      </c>
      <c r="B7" s="31"/>
      <c r="D7" s="8"/>
      <c r="M7" s="137" t="s">
        <v>63</v>
      </c>
      <c r="R7" s="137" t="s">
        <v>61</v>
      </c>
      <c r="V7" s="44"/>
      <c r="W7" s="38"/>
      <c r="X7" s="38"/>
      <c r="Y7" s="38"/>
      <c r="Z7" s="38"/>
      <c r="AA7" s="38"/>
      <c r="AB7" s="38"/>
      <c r="AF7" s="27"/>
    </row>
    <row r="8" spans="1:35" ht="15.75" thickBot="1" x14ac:dyDescent="0.3">
      <c r="A8" s="34" t="s">
        <v>56</v>
      </c>
      <c r="B8" s="34" t="s">
        <v>55</v>
      </c>
      <c r="C8" s="34" t="s">
        <v>26</v>
      </c>
      <c r="D8" s="34" t="s">
        <v>29</v>
      </c>
      <c r="E8" s="34" t="s">
        <v>41</v>
      </c>
      <c r="F8" s="34" t="s">
        <v>35</v>
      </c>
      <c r="G8" s="34" t="s">
        <v>27</v>
      </c>
      <c r="H8" s="49" t="s">
        <v>28</v>
      </c>
      <c r="I8" s="157" t="s">
        <v>65</v>
      </c>
      <c r="J8" s="52" t="s">
        <v>50</v>
      </c>
      <c r="K8" s="159">
        <v>2.5999999999999999E-3</v>
      </c>
      <c r="M8" s="196" t="s">
        <v>53</v>
      </c>
      <c r="N8" s="95" t="s">
        <v>54</v>
      </c>
      <c r="O8" s="101" t="s">
        <v>57</v>
      </c>
      <c r="P8" s="93" t="s">
        <v>58</v>
      </c>
      <c r="R8" s="34" t="s">
        <v>62</v>
      </c>
      <c r="S8" s="34" t="s">
        <v>25</v>
      </c>
      <c r="T8" s="49" t="s">
        <v>71</v>
      </c>
      <c r="U8" s="49" t="s">
        <v>0</v>
      </c>
      <c r="V8" s="34" t="s">
        <v>73</v>
      </c>
      <c r="W8" s="34" t="s">
        <v>72</v>
      </c>
      <c r="AF8" s="27"/>
    </row>
    <row r="9" spans="1:35" ht="16.5" thickBot="1" x14ac:dyDescent="0.3">
      <c r="A9" s="65" t="s">
        <v>1</v>
      </c>
      <c r="B9" s="66" t="s">
        <v>2</v>
      </c>
      <c r="C9" s="67">
        <f t="shared" ref="C9:C20" si="0">VLOOKUP(A9,BalancesRange,2,FALSE)</f>
        <v>6.970317E-4</v>
      </c>
      <c r="D9" s="68">
        <f>C9</f>
        <v>6.970317E-4</v>
      </c>
      <c r="E9" s="69">
        <f t="shared" ref="E9" si="1">D9*BTCPrice</f>
        <v>8.4809938034099996</v>
      </c>
      <c r="F9" s="69">
        <f>E9*EURPrice</f>
        <v>7.1542399961280525</v>
      </c>
      <c r="G9" s="70">
        <f>(B2*USDPrice)/C3</f>
        <v>9283.2516454870565</v>
      </c>
      <c r="H9" s="71">
        <f>VLOOKUP(B9,PricesRange,3,FALSE)</f>
        <v>12167.3</v>
      </c>
      <c r="I9" s="71">
        <v>4700</v>
      </c>
      <c r="J9" s="91">
        <f>B3-B2</f>
        <v>460.89670141058969</v>
      </c>
      <c r="K9" s="160">
        <f>IF(C9&lt;0.0001,0,(H9-G9)/G9)</f>
        <v>0.31067221536701412</v>
      </c>
      <c r="M9" s="96">
        <v>-0.05</v>
      </c>
      <c r="N9" s="96">
        <v>0.05</v>
      </c>
      <c r="O9" s="92"/>
      <c r="P9" s="94"/>
      <c r="R9" s="126">
        <v>44046</v>
      </c>
      <c r="S9" s="127">
        <v>0.18240000000000001</v>
      </c>
      <c r="T9" s="131">
        <f>1500*USDPrice/S9</f>
        <v>9748.7664473684199</v>
      </c>
      <c r="U9" s="218"/>
      <c r="V9" s="135"/>
      <c r="W9" s="135"/>
      <c r="AF9" s="27"/>
    </row>
    <row r="10" spans="1:35" x14ac:dyDescent="0.25">
      <c r="A10" s="200" t="s">
        <v>3</v>
      </c>
      <c r="B10" s="201" t="s">
        <v>4</v>
      </c>
      <c r="C10" s="175">
        <f t="shared" si="0"/>
        <v>0</v>
      </c>
      <c r="D10" s="202">
        <v>0</v>
      </c>
      <c r="E10" s="203">
        <f t="shared" ref="E10:E19" si="2">C10*H10*BTCPrice</f>
        <v>0</v>
      </c>
      <c r="F10" s="203">
        <f t="shared" ref="F10:F19" si="3">C10*H10*BTCPrice*EURPrice</f>
        <v>0</v>
      </c>
      <c r="G10" s="204">
        <f t="shared" ref="G10:G19" si="4">IF(C10=0,0,D10/C10)</f>
        <v>0</v>
      </c>
      <c r="H10" s="205">
        <f t="shared" ref="H10:H19" si="5">VLOOKUP(B10,PricesRange,3,FALSE)</f>
        <v>2.5740000000000001E-5</v>
      </c>
      <c r="I10" s="206">
        <v>2.05E-5</v>
      </c>
      <c r="J10" s="210">
        <f>(H10-I10)/H10</f>
        <v>0.20357420357420358</v>
      </c>
      <c r="K10" s="135">
        <f t="shared" ref="K10:K20" si="6">IF(C10&lt;0.0001,0,(H10-G10)/G10-MarketFee)</f>
        <v>0</v>
      </c>
      <c r="M10" s="197">
        <f t="shared" ref="M10:M19" si="7">ROUND(H10*(1+BuyTarget),P10)</f>
        <v>2.4450000000000001E-5</v>
      </c>
      <c r="N10" s="97">
        <f t="shared" ref="N10:N19" si="8">ROUND(G10*(1+SellTarget),P10)</f>
        <v>0</v>
      </c>
      <c r="O10" s="192">
        <v>0</v>
      </c>
      <c r="P10" s="98">
        <v>8</v>
      </c>
      <c r="R10" s="128">
        <v>44053</v>
      </c>
      <c r="S10" s="125">
        <v>0.19420000000000001</v>
      </c>
      <c r="T10" s="132">
        <f>1500*USDPrice/S10</f>
        <v>9156.4109165808422</v>
      </c>
      <c r="U10" s="219"/>
      <c r="V10" s="136">
        <f>S10/S9-1</f>
        <v>6.4692982456140413E-2</v>
      </c>
      <c r="W10" s="136">
        <f>S10/BTCStart-1</f>
        <v>6.4692982456140413E-2</v>
      </c>
      <c r="AG10" s="27"/>
    </row>
    <row r="11" spans="1:35" x14ac:dyDescent="0.25">
      <c r="A11" s="107" t="s">
        <v>5</v>
      </c>
      <c r="B11" s="108" t="s">
        <v>6</v>
      </c>
      <c r="C11" s="112">
        <f>VLOOKUP(A11,BalancesRange,2,FALSE)</f>
        <v>1.7045566113999999</v>
      </c>
      <c r="D11" s="109">
        <f>D17</f>
        <v>6.2899999999999998E-2</v>
      </c>
      <c r="E11" s="106">
        <f t="shared" si="2"/>
        <v>735.43513978868066</v>
      </c>
      <c r="F11" s="106">
        <f t="shared" si="3"/>
        <v>620.38478197197753</v>
      </c>
      <c r="G11" s="110">
        <f t="shared" si="4"/>
        <v>3.69010918025999E-2</v>
      </c>
      <c r="H11" s="161">
        <f t="shared" si="5"/>
        <v>3.5459999999999998E-2</v>
      </c>
      <c r="I11" s="207">
        <v>1.6420000000000001E-2</v>
      </c>
      <c r="J11" s="211">
        <f t="shared" ref="J11:J20" si="9">(H11-I11)/H11</f>
        <v>0.53694303440496327</v>
      </c>
      <c r="K11" s="136">
        <f t="shared" si="6"/>
        <v>-4.1652822889602641E-2</v>
      </c>
      <c r="M11" s="198">
        <f t="shared" si="7"/>
        <v>3.3687000000000002E-2</v>
      </c>
      <c r="N11" s="102">
        <f t="shared" si="8"/>
        <v>3.8746000000000003E-2</v>
      </c>
      <c r="O11" s="193">
        <v>0</v>
      </c>
      <c r="P11" s="99">
        <v>6</v>
      </c>
      <c r="R11" s="128">
        <v>44060</v>
      </c>
      <c r="S11" s="125">
        <v>0.20069999999999999</v>
      </c>
      <c r="T11" s="132">
        <f>1500*USDPrice/S11</f>
        <v>8859.8654708520171</v>
      </c>
      <c r="U11" s="219">
        <v>2005</v>
      </c>
      <c r="V11" s="136">
        <f>S11/S10-1</f>
        <v>3.3470648815653758E-2</v>
      </c>
      <c r="W11" s="136">
        <f>S11/BTCStart-1</f>
        <v>0.10032894736842102</v>
      </c>
      <c r="AG11" s="27"/>
    </row>
    <row r="12" spans="1:35" x14ac:dyDescent="0.25">
      <c r="A12" s="107" t="s">
        <v>9</v>
      </c>
      <c r="B12" s="108" t="s">
        <v>10</v>
      </c>
      <c r="C12" s="112">
        <f>VLOOKUP(A12,BalancesRange,2,FALSE)</f>
        <v>0</v>
      </c>
      <c r="D12" s="111">
        <v>0</v>
      </c>
      <c r="E12" s="106">
        <f>C12*H12*BTCPrice</f>
        <v>0</v>
      </c>
      <c r="F12" s="106">
        <f>C12*H12*BTCPrice*EURPrice</f>
        <v>0</v>
      </c>
      <c r="G12" s="110">
        <f>IF(C12=0,0,D12/C12)</f>
        <v>0</v>
      </c>
      <c r="H12" s="161">
        <f>VLOOKUP(B12,PricesRange,3,FALSE)</f>
        <v>3.3839999999999999E-4</v>
      </c>
      <c r="I12" s="207">
        <v>8.3999999999999995E-5</v>
      </c>
      <c r="J12" s="211">
        <f t="shared" si="9"/>
        <v>0.75177304964539016</v>
      </c>
      <c r="K12" s="136">
        <f>IF(C12&lt;0.0001,0,(H12-G12)/G12-MarketFee)</f>
        <v>0</v>
      </c>
      <c r="M12" s="198">
        <f>ROUND(H12*(1+BuyTarget),P12)</f>
        <v>3.21E-4</v>
      </c>
      <c r="N12" s="102">
        <f>ROUND(G12*(1+SellTarget),P12)</f>
        <v>0</v>
      </c>
      <c r="O12" s="193">
        <v>0</v>
      </c>
      <c r="P12" s="99">
        <v>6</v>
      </c>
      <c r="R12" s="128"/>
      <c r="S12" s="125">
        <f>C3</f>
        <v>0.19154656880000001</v>
      </c>
      <c r="T12" s="132">
        <f>1500*USDPrice/S12</f>
        <v>9283.2516454870565</v>
      </c>
      <c r="U12" s="219">
        <f>B3</f>
        <v>1960.8967014105897</v>
      </c>
      <c r="V12" s="136">
        <f>S12/S11-1</f>
        <v>-4.5607529646238043E-2</v>
      </c>
      <c r="W12" s="136">
        <f>S12/BTCStart-1</f>
        <v>5.0145662280701719E-2</v>
      </c>
    </row>
    <row r="13" spans="1:35" x14ac:dyDescent="0.25">
      <c r="A13" s="117" t="s">
        <v>7</v>
      </c>
      <c r="B13" s="118" t="s">
        <v>8</v>
      </c>
      <c r="C13" s="112">
        <f t="shared" si="0"/>
        <v>8.9999999999999999E-8</v>
      </c>
      <c r="D13" s="121">
        <v>0</v>
      </c>
      <c r="E13" s="122">
        <f t="shared" si="2"/>
        <v>5.7851861309999999E-6</v>
      </c>
      <c r="F13" s="122">
        <f t="shared" si="3"/>
        <v>4.8801603871947361E-6</v>
      </c>
      <c r="G13" s="123">
        <f t="shared" si="4"/>
        <v>0</v>
      </c>
      <c r="H13" s="162">
        <f t="shared" si="5"/>
        <v>5.2830000000000004E-3</v>
      </c>
      <c r="I13" s="208">
        <v>4.5999999999999999E-3</v>
      </c>
      <c r="J13" s="212">
        <f t="shared" si="9"/>
        <v>0.12928260458073071</v>
      </c>
      <c r="K13" s="136">
        <f t="shared" si="6"/>
        <v>0</v>
      </c>
      <c r="M13" s="198">
        <f t="shared" si="7"/>
        <v>5.019E-3</v>
      </c>
      <c r="N13" s="102">
        <f t="shared" si="8"/>
        <v>0</v>
      </c>
      <c r="O13" s="193">
        <v>0</v>
      </c>
      <c r="P13" s="99">
        <v>6</v>
      </c>
      <c r="R13" s="48"/>
      <c r="S13" s="45"/>
      <c r="T13" s="133"/>
      <c r="U13" s="220"/>
      <c r="V13" s="136"/>
      <c r="W13" s="136"/>
    </row>
    <row r="14" spans="1:35" x14ac:dyDescent="0.25">
      <c r="A14" s="119" t="s">
        <v>43</v>
      </c>
      <c r="B14" s="120" t="s">
        <v>44</v>
      </c>
      <c r="C14" s="112">
        <f t="shared" si="0"/>
        <v>0</v>
      </c>
      <c r="D14" s="121">
        <v>0</v>
      </c>
      <c r="E14" s="122">
        <f t="shared" si="2"/>
        <v>0</v>
      </c>
      <c r="F14" s="122">
        <f t="shared" si="3"/>
        <v>0</v>
      </c>
      <c r="G14" s="123">
        <f t="shared" si="4"/>
        <v>0</v>
      </c>
      <c r="H14" s="162">
        <f t="shared" si="5"/>
        <v>4.9620000000000003E-4</v>
      </c>
      <c r="I14" s="208">
        <v>2.1340000000000001E-4</v>
      </c>
      <c r="J14" s="212">
        <f t="shared" si="9"/>
        <v>0.56993147924224108</v>
      </c>
      <c r="K14" s="136">
        <f t="shared" si="6"/>
        <v>0</v>
      </c>
      <c r="M14" s="198">
        <f t="shared" si="7"/>
        <v>4.7140000000000002E-4</v>
      </c>
      <c r="N14" s="102">
        <f t="shared" si="8"/>
        <v>0</v>
      </c>
      <c r="O14" s="193">
        <v>0</v>
      </c>
      <c r="P14" s="99">
        <v>7</v>
      </c>
      <c r="R14" s="48"/>
      <c r="S14" s="45"/>
      <c r="T14" s="133"/>
      <c r="U14" s="220"/>
      <c r="V14" s="136"/>
      <c r="W14" s="136"/>
    </row>
    <row r="15" spans="1:35" ht="15.75" thickBot="1" x14ac:dyDescent="0.3">
      <c r="A15" s="119" t="s">
        <v>67</v>
      </c>
      <c r="B15" s="120" t="s">
        <v>68</v>
      </c>
      <c r="C15" s="112">
        <f t="shared" si="0"/>
        <v>16000.000000030001</v>
      </c>
      <c r="D15" s="121">
        <f>0.04</f>
        <v>0.04</v>
      </c>
      <c r="E15" s="122">
        <f t="shared" ref="E15" si="10">C15*H15*BTCPrice</f>
        <v>474.0574756808889</v>
      </c>
      <c r="F15" s="122">
        <f t="shared" ref="F15" si="11">C15*H15*BTCPrice*EURPrice</f>
        <v>399.89664319953516</v>
      </c>
      <c r="G15" s="123">
        <f t="shared" ref="G15" si="12">IF(C15=0,0,D15/C15)</f>
        <v>2.4999999999953123E-6</v>
      </c>
      <c r="H15" s="162">
        <f t="shared" ref="H15" si="13">VLOOKUP(B15,PricesRange,3,FALSE)</f>
        <v>2.4351000000000002E-6</v>
      </c>
      <c r="I15" s="208">
        <v>1.5999999999999999E-6</v>
      </c>
      <c r="J15" s="212">
        <f t="shared" si="9"/>
        <v>0.34294279495708602</v>
      </c>
      <c r="K15" s="136">
        <f t="shared" ref="K15" si="14">IF(C15&lt;0.0001,0,(H15-G15)/G15-MarketFee)</f>
        <v>-2.8559999998173519E-2</v>
      </c>
      <c r="M15" s="198">
        <f t="shared" ref="M15" si="15">ROUND(H15*(1+BuyTarget),P15)</f>
        <v>2.3099999999999999E-6</v>
      </c>
      <c r="N15" s="102">
        <f t="shared" ref="N15" si="16">ROUND(G15*(1+SellTarget),P15)</f>
        <v>2.6199999999999999E-6</v>
      </c>
      <c r="O15" s="193">
        <v>0</v>
      </c>
      <c r="P15" s="99">
        <v>8</v>
      </c>
      <c r="R15" s="129"/>
      <c r="S15" s="130"/>
      <c r="T15" s="134"/>
      <c r="U15" s="221"/>
      <c r="V15" s="51"/>
      <c r="W15" s="51"/>
    </row>
    <row r="16" spans="1:35" x14ac:dyDescent="0.25">
      <c r="A16" s="119" t="s">
        <v>51</v>
      </c>
      <c r="B16" s="120" t="s">
        <v>52</v>
      </c>
      <c r="C16" s="112">
        <f t="shared" ref="C16" si="17">VLOOKUP(A16,BalancesRange,2,FALSE)</f>
        <v>4.0000000000000001E-8</v>
      </c>
      <c r="D16" s="121">
        <v>0</v>
      </c>
      <c r="E16" s="122">
        <f t="shared" ref="E16" si="18">C16*H16*BTCPrice</f>
        <v>3.9130036799999994E-6</v>
      </c>
      <c r="F16" s="122">
        <f t="shared" ref="F16" si="19">C16*H16*BTCPrice*EURPrice</f>
        <v>3.3008593192458559E-6</v>
      </c>
      <c r="G16" s="123">
        <f t="shared" ref="G16" si="20">IF(C16=0,0,D16/C16)</f>
        <v>0</v>
      </c>
      <c r="H16" s="162">
        <f t="shared" ref="H16" si="21">VLOOKUP(B16,PricesRange,3,FALSE)</f>
        <v>8.0400000000000003E-3</v>
      </c>
      <c r="I16" s="208">
        <v>6.0200000000000002E-3</v>
      </c>
      <c r="J16" s="212">
        <f t="shared" si="9"/>
        <v>0.25124378109452739</v>
      </c>
      <c r="K16" s="136">
        <f t="shared" si="6"/>
        <v>0</v>
      </c>
      <c r="M16" s="198">
        <f t="shared" si="7"/>
        <v>7.6400000000000001E-3</v>
      </c>
      <c r="N16" s="102">
        <f t="shared" si="8"/>
        <v>0</v>
      </c>
      <c r="O16" s="193">
        <v>0</v>
      </c>
      <c r="P16" s="99">
        <v>5</v>
      </c>
    </row>
    <row r="17" spans="1:20" x14ac:dyDescent="0.25">
      <c r="A17" s="119" t="s">
        <v>36</v>
      </c>
      <c r="B17" s="120" t="s">
        <v>37</v>
      </c>
      <c r="C17" s="112">
        <f t="shared" si="0"/>
        <v>100</v>
      </c>
      <c r="D17" s="121">
        <f>0.1258/2</f>
        <v>6.2899999999999998E-2</v>
      </c>
      <c r="E17" s="122">
        <f t="shared" si="2"/>
        <v>737.33837999999992</v>
      </c>
      <c r="F17" s="122">
        <f t="shared" si="3"/>
        <v>621.99028217132729</v>
      </c>
      <c r="G17" s="123">
        <f t="shared" si="4"/>
        <v>6.29E-4</v>
      </c>
      <c r="H17" s="162">
        <f t="shared" si="5"/>
        <v>6.0599999999999998E-4</v>
      </c>
      <c r="I17" s="208">
        <v>5.2999999999999998E-4</v>
      </c>
      <c r="J17" s="212">
        <f t="shared" si="9"/>
        <v>0.12541254125412543</v>
      </c>
      <c r="K17" s="136">
        <f t="shared" si="6"/>
        <v>-3.9165977742448357E-2</v>
      </c>
      <c r="M17" s="198">
        <f t="shared" si="7"/>
        <v>5.7600000000000001E-4</v>
      </c>
      <c r="N17" s="102">
        <f t="shared" si="8"/>
        <v>6.6E-4</v>
      </c>
      <c r="O17" s="193">
        <v>0</v>
      </c>
      <c r="P17" s="99">
        <v>6</v>
      </c>
    </row>
    <row r="18" spans="1:20" x14ac:dyDescent="0.25">
      <c r="A18" s="117" t="s">
        <v>59</v>
      </c>
      <c r="B18" s="118" t="s">
        <v>60</v>
      </c>
      <c r="C18" s="112">
        <f t="shared" ref="C18" si="22">VLOOKUP(A18,BalancesRange,2,FALSE)</f>
        <v>2.9999999999999997E-8</v>
      </c>
      <c r="D18" s="121">
        <v>0</v>
      </c>
      <c r="E18" s="163">
        <f t="shared" ref="E18" si="23">C18*H18*BTCPrice</f>
        <v>5.6639268191999987E-7</v>
      </c>
      <c r="F18" s="163">
        <f t="shared" ref="F18" si="24">C18*H18*BTCPrice*EURPrice</f>
        <v>4.777870698215867E-7</v>
      </c>
      <c r="G18" s="123">
        <f t="shared" ref="G18" si="25">IF(C18=0,0,D18/C18)</f>
        <v>0</v>
      </c>
      <c r="H18" s="162">
        <f t="shared" ref="H18" si="26">VLOOKUP(B18,PricesRange,3,FALSE)</f>
        <v>1.5516799999999999E-3</v>
      </c>
      <c r="I18" s="208">
        <v>2.4000000000000001E-4</v>
      </c>
      <c r="J18" s="212">
        <f t="shared" si="9"/>
        <v>0.84532893380078367</v>
      </c>
      <c r="K18" s="136">
        <f t="shared" ref="K18" si="27">IF(C18&lt;0.0001,0,(H18-G18)/G18-MarketFee)</f>
        <v>0</v>
      </c>
      <c r="M18" s="198">
        <f t="shared" ref="M18" si="28">ROUND(H18*(1+BuyTarget),P18)</f>
        <v>1.4741000000000001E-3</v>
      </c>
      <c r="N18" s="102">
        <f t="shared" ref="N18" si="29">ROUND(G18*(1+SellTarget),P18)</f>
        <v>0</v>
      </c>
      <c r="O18" s="193">
        <v>0</v>
      </c>
      <c r="P18" s="99">
        <v>8</v>
      </c>
    </row>
    <row r="19" spans="1:20" s="3" customFormat="1" x14ac:dyDescent="0.25">
      <c r="A19" s="117" t="s">
        <v>11</v>
      </c>
      <c r="B19" s="118" t="s">
        <v>12</v>
      </c>
      <c r="C19" s="112">
        <f t="shared" si="0"/>
        <v>0</v>
      </c>
      <c r="D19" s="121">
        <v>0</v>
      </c>
      <c r="E19" s="163">
        <f t="shared" si="2"/>
        <v>0</v>
      </c>
      <c r="F19" s="163">
        <f t="shared" si="3"/>
        <v>0</v>
      </c>
      <c r="G19" s="123">
        <f t="shared" si="4"/>
        <v>0</v>
      </c>
      <c r="H19" s="164">
        <f t="shared" si="5"/>
        <v>3.1250000000000001E-4</v>
      </c>
      <c r="I19" s="208">
        <v>2.7E-4</v>
      </c>
      <c r="J19" s="212">
        <f t="shared" si="9"/>
        <v>0.13600000000000001</v>
      </c>
      <c r="K19" s="136">
        <f t="shared" si="6"/>
        <v>0</v>
      </c>
      <c r="M19" s="214">
        <f t="shared" si="7"/>
        <v>2.9690000000000001E-4</v>
      </c>
      <c r="N19" s="215">
        <f t="shared" si="8"/>
        <v>0</v>
      </c>
      <c r="O19" s="216">
        <v>0</v>
      </c>
      <c r="P19" s="217">
        <v>7</v>
      </c>
    </row>
    <row r="20" spans="1:20" ht="15.75" thickBot="1" x14ac:dyDescent="0.3">
      <c r="A20" s="187" t="s">
        <v>69</v>
      </c>
      <c r="B20" s="187" t="s">
        <v>70</v>
      </c>
      <c r="C20" s="112">
        <f t="shared" si="0"/>
        <v>75</v>
      </c>
      <c r="D20" s="188">
        <v>3.4299999999999997E-2</v>
      </c>
      <c r="E20" s="122">
        <f t="shared" ref="E20" si="30">C20*H20*BTCPrice</f>
        <v>377.66690834999997</v>
      </c>
      <c r="F20" s="122">
        <f t="shared" ref="F20" si="31">C20*H20*BTCPrice*EURPrice</f>
        <v>318.58527002404151</v>
      </c>
      <c r="G20" s="189">
        <f t="shared" ref="G20" si="32">IF(C20=0,0,D20/C20)</f>
        <v>4.573333333333333E-4</v>
      </c>
      <c r="H20" s="190">
        <f t="shared" ref="H20:H28" si="33">VLOOKUP(B20,PricesRange,3,FALSE)</f>
        <v>4.1386E-4</v>
      </c>
      <c r="I20" s="209">
        <v>1.8000000000000001E-4</v>
      </c>
      <c r="J20" s="213">
        <f t="shared" si="9"/>
        <v>0.56507031363262938</v>
      </c>
      <c r="K20" s="136">
        <f t="shared" si="6"/>
        <v>-9.765830903790082E-2</v>
      </c>
      <c r="M20" s="199">
        <f t="shared" ref="M20" si="34">ROUND(H20*(1+BuyTarget),P20)</f>
        <v>3.9320000000000002E-4</v>
      </c>
      <c r="N20" s="195">
        <f t="shared" ref="N20" si="35">ROUND(G20*(1+SellTarget),P20)</f>
        <v>4.8020000000000002E-4</v>
      </c>
      <c r="O20" s="194">
        <v>0</v>
      </c>
      <c r="P20" s="191">
        <v>7</v>
      </c>
      <c r="T20" s="37"/>
    </row>
    <row r="21" spans="1:20" hidden="1" x14ac:dyDescent="0.25">
      <c r="A21" s="118"/>
      <c r="B21" s="118"/>
      <c r="C21" s="112"/>
      <c r="D21" s="121"/>
      <c r="E21" s="163"/>
      <c r="F21" s="163"/>
      <c r="G21" s="123"/>
      <c r="H21" s="190" t="e">
        <f t="shared" si="33"/>
        <v>#N/A</v>
      </c>
      <c r="I21" s="124"/>
      <c r="J21" s="158"/>
      <c r="K21" s="136"/>
    </row>
    <row r="22" spans="1:20" hidden="1" x14ac:dyDescent="0.25">
      <c r="A22" s="118"/>
      <c r="B22" s="118"/>
      <c r="C22" s="112"/>
      <c r="D22" s="121"/>
      <c r="E22" s="163"/>
      <c r="F22" s="163"/>
      <c r="G22" s="123"/>
      <c r="H22" s="190" t="e">
        <f t="shared" si="33"/>
        <v>#N/A</v>
      </c>
      <c r="I22" s="124"/>
      <c r="J22" s="158"/>
      <c r="K22" s="136"/>
    </row>
    <row r="23" spans="1:20" hidden="1" x14ac:dyDescent="0.25">
      <c r="A23" s="118"/>
      <c r="B23" s="118"/>
      <c r="C23" s="112"/>
      <c r="D23" s="121"/>
      <c r="E23" s="163"/>
      <c r="F23" s="163"/>
      <c r="G23" s="123"/>
      <c r="H23" s="190" t="e">
        <f t="shared" si="33"/>
        <v>#N/A</v>
      </c>
      <c r="I23" s="124"/>
      <c r="J23" s="158"/>
      <c r="K23" s="136"/>
    </row>
    <row r="24" spans="1:20" hidden="1" x14ac:dyDescent="0.25">
      <c r="A24" s="118"/>
      <c r="B24" s="118"/>
      <c r="C24" s="112"/>
      <c r="D24" s="121"/>
      <c r="E24" s="163"/>
      <c r="F24" s="163"/>
      <c r="G24" s="123"/>
      <c r="H24" s="190" t="e">
        <f t="shared" si="33"/>
        <v>#N/A</v>
      </c>
      <c r="I24" s="124"/>
      <c r="J24" s="158"/>
      <c r="K24" s="136"/>
    </row>
    <row r="25" spans="1:20" hidden="1" x14ac:dyDescent="0.25">
      <c r="A25" s="118"/>
      <c r="B25" s="118"/>
      <c r="C25" s="112"/>
      <c r="D25" s="121"/>
      <c r="E25" s="163"/>
      <c r="F25" s="163"/>
      <c r="G25" s="123"/>
      <c r="H25" s="190" t="e">
        <f t="shared" si="33"/>
        <v>#N/A</v>
      </c>
      <c r="I25" s="124"/>
      <c r="J25" s="158"/>
      <c r="K25" s="136"/>
    </row>
    <row r="26" spans="1:20" hidden="1" x14ac:dyDescent="0.25">
      <c r="A26" s="118"/>
      <c r="B26" s="118"/>
      <c r="C26" s="112"/>
      <c r="D26" s="121"/>
      <c r="E26" s="163"/>
      <c r="F26" s="163"/>
      <c r="G26" s="123"/>
      <c r="H26" s="190" t="e">
        <f t="shared" si="33"/>
        <v>#N/A</v>
      </c>
      <c r="I26" s="124"/>
      <c r="J26" s="158"/>
      <c r="K26" s="136"/>
    </row>
    <row r="27" spans="1:20" hidden="1" x14ac:dyDescent="0.25">
      <c r="A27" t="s">
        <v>1</v>
      </c>
      <c r="B27" s="45" t="s">
        <v>74</v>
      </c>
      <c r="C27" s="112"/>
      <c r="D27" s="47"/>
      <c r="E27" s="86"/>
      <c r="F27" s="86"/>
      <c r="G27" s="46"/>
      <c r="H27" s="222">
        <f>VLOOKUP(B27,PricesRange,3,FALSE)</f>
        <v>10259.9</v>
      </c>
      <c r="I27" s="50"/>
      <c r="J27" s="166"/>
      <c r="K27" s="136"/>
    </row>
    <row r="28" spans="1:20" ht="15.75" hidden="1" thickBot="1" x14ac:dyDescent="0.3">
      <c r="A28" s="167" t="s">
        <v>5</v>
      </c>
      <c r="B28" s="167" t="s">
        <v>75</v>
      </c>
      <c r="C28" s="113"/>
      <c r="D28" s="168"/>
      <c r="E28" s="169"/>
      <c r="F28" s="169"/>
      <c r="G28" s="170"/>
      <c r="H28" s="222">
        <f t="shared" si="33"/>
        <v>431.68</v>
      </c>
      <c r="I28" s="171"/>
      <c r="J28" s="172"/>
      <c r="K28" s="165"/>
    </row>
    <row r="29" spans="1:20" hidden="1" x14ac:dyDescent="0.25">
      <c r="A29" s="173"/>
      <c r="B29" s="174" t="s">
        <v>22</v>
      </c>
      <c r="C29" s="175"/>
      <c r="D29" s="176"/>
      <c r="E29" s="177"/>
      <c r="F29" s="177"/>
      <c r="G29" s="178"/>
      <c r="H29" s="127">
        <f>VLOOKUP(B29,PricesRange,3,FALSE)</f>
        <v>1.3052299999999999</v>
      </c>
      <c r="I29" s="179"/>
      <c r="J29" s="180"/>
      <c r="K29" s="135"/>
    </row>
    <row r="30" spans="1:20" ht="15.75" hidden="1" thickBot="1" x14ac:dyDescent="0.3">
      <c r="A30" s="129"/>
      <c r="B30" s="130" t="s">
        <v>13</v>
      </c>
      <c r="C30" s="181"/>
      <c r="D30" s="182"/>
      <c r="E30" s="183"/>
      <c r="F30" s="183"/>
      <c r="G30" s="184"/>
      <c r="H30" s="223">
        <f>VLOOKUP(B30,PricesRange,3,FALSE)</f>
        <v>1.1854499999999999</v>
      </c>
      <c r="I30" s="185"/>
      <c r="J30" s="186"/>
      <c r="K30" s="51"/>
    </row>
    <row r="31" spans="1:20" x14ac:dyDescent="0.25">
      <c r="A31" s="139" t="s">
        <v>21</v>
      </c>
      <c r="B31" s="140" t="s">
        <v>33</v>
      </c>
      <c r="C31" s="114">
        <v>5000</v>
      </c>
      <c r="D31" s="145">
        <v>5624.54</v>
      </c>
      <c r="E31" s="146">
        <f>D31*USDPrice</f>
        <v>6667.6109429999997</v>
      </c>
      <c r="F31" s="146">
        <f>C31*H31</f>
        <v>5505.2089923657686</v>
      </c>
      <c r="G31" s="147">
        <f>D31/C31</f>
        <v>1.124908</v>
      </c>
      <c r="H31" s="148">
        <f>GBPPrice</f>
        <v>1.1010417984731538</v>
      </c>
      <c r="I31" s="148">
        <v>1.0604</v>
      </c>
      <c r="J31" s="73">
        <f t="shared" ref="J31:J35" si="36">F31-D31</f>
        <v>-119.33100763423136</v>
      </c>
      <c r="K31" s="135">
        <f>IF(C31&lt;0.0001,0,(H31-G31)/G31)</f>
        <v>-2.1216136365681697E-2</v>
      </c>
    </row>
    <row r="32" spans="1:20" x14ac:dyDescent="0.25">
      <c r="A32" s="141" t="s">
        <v>31</v>
      </c>
      <c r="B32" s="142" t="s">
        <v>34</v>
      </c>
      <c r="C32" s="115">
        <v>30000</v>
      </c>
      <c r="D32" s="149">
        <f>232.75+115.29</f>
        <v>348.04</v>
      </c>
      <c r="E32" s="150">
        <f>D32*USDPrice</f>
        <v>412.58401800000001</v>
      </c>
      <c r="F32" s="150">
        <f>C32/H32</f>
        <v>344.55036177787991</v>
      </c>
      <c r="G32" s="151">
        <f>C32/D32</f>
        <v>86.196988851856105</v>
      </c>
      <c r="H32" s="152">
        <f>RUBPrice</f>
        <v>87.07</v>
      </c>
      <c r="I32" s="152">
        <v>88.54</v>
      </c>
      <c r="J32" s="74">
        <f t="shared" si="36"/>
        <v>-3.4896382221201065</v>
      </c>
      <c r="K32" s="136">
        <f>IF(C32&lt;0.0001,0,(G32-H32)/H32)</f>
        <v>-1.0026543564303299E-2</v>
      </c>
    </row>
    <row r="33" spans="1:11" x14ac:dyDescent="0.25">
      <c r="A33" s="141" t="s">
        <v>66</v>
      </c>
      <c r="B33" s="142" t="s">
        <v>34</v>
      </c>
      <c r="C33" s="115">
        <v>29150.58</v>
      </c>
      <c r="D33" s="149">
        <v>337</v>
      </c>
      <c r="E33" s="150">
        <f>D33*USDPrice</f>
        <v>399.49664999999999</v>
      </c>
      <c r="F33" s="150">
        <f>C33/H33</f>
        <v>334.794762834501</v>
      </c>
      <c r="G33" s="151">
        <f>C33/D33</f>
        <v>86.500237388724045</v>
      </c>
      <c r="H33" s="152">
        <f>RUBPrice</f>
        <v>87.07</v>
      </c>
      <c r="I33" s="152">
        <f>I32</f>
        <v>88.54</v>
      </c>
      <c r="J33" s="74">
        <f t="shared" ref="J33" si="37">F33-D33</f>
        <v>-2.2052371654989997</v>
      </c>
      <c r="K33" s="136">
        <f>IF(C33&lt;0.0001,0,(G33-H33)/H33)</f>
        <v>-6.5437304614212478E-3</v>
      </c>
    </row>
    <row r="34" spans="1:11" x14ac:dyDescent="0.25">
      <c r="A34" s="141" t="s">
        <v>32</v>
      </c>
      <c r="B34" s="142" t="s">
        <v>34</v>
      </c>
      <c r="C34" s="115">
        <v>157636.54999999999</v>
      </c>
      <c r="D34" s="149">
        <v>1900.26</v>
      </c>
      <c r="E34" s="150">
        <f>D34*USDPrice</f>
        <v>2252.6632169999998</v>
      </c>
      <c r="F34" s="150">
        <f>C34/H34</f>
        <v>1810.4576777305617</v>
      </c>
      <c r="G34" s="151">
        <f>C34/D34</f>
        <v>82.95525349162746</v>
      </c>
      <c r="H34" s="152">
        <f>RUBPrice</f>
        <v>87.07</v>
      </c>
      <c r="I34" s="152">
        <f t="shared" ref="I34:I35" si="38">I33</f>
        <v>88.54</v>
      </c>
      <c r="J34" s="74">
        <f t="shared" si="36"/>
        <v>-89.802322269438264</v>
      </c>
      <c r="K34" s="136">
        <f>IF(C34&lt;0.0001,0,(G34-H34)/H34)</f>
        <v>-4.7257913269467489E-2</v>
      </c>
    </row>
    <row r="35" spans="1:11" ht="15.75" thickBot="1" x14ac:dyDescent="0.3">
      <c r="A35" s="143" t="s">
        <v>30</v>
      </c>
      <c r="B35" s="144" t="s">
        <v>34</v>
      </c>
      <c r="C35" s="116">
        <f>SUM('RUB Vault'!B:B)</f>
        <v>5784.3199999999979</v>
      </c>
      <c r="D35" s="153">
        <f>SUM('RUB Vault'!C:C)</f>
        <v>67.069479999999999</v>
      </c>
      <c r="E35" s="154">
        <f>D35*USDPrice</f>
        <v>79.507515065999996</v>
      </c>
      <c r="F35" s="154">
        <f>C35/H35</f>
        <v>66.432984954634179</v>
      </c>
      <c r="G35" s="155">
        <f>C35/D35</f>
        <v>86.243698325974762</v>
      </c>
      <c r="H35" s="156">
        <f>RUBPrice</f>
        <v>87.07</v>
      </c>
      <c r="I35" s="156">
        <f t="shared" si="38"/>
        <v>88.54</v>
      </c>
      <c r="J35" s="75">
        <f t="shared" si="36"/>
        <v>-0.63649504536581958</v>
      </c>
      <c r="K35" s="51">
        <f>IF(C35&lt;0.0001,0,(G35-H35)/H35)</f>
        <v>-9.4900846907687054E-3</v>
      </c>
    </row>
    <row r="36" spans="1:11" ht="15.75" thickBot="1" x14ac:dyDescent="0.3">
      <c r="A36" s="61" t="s">
        <v>38</v>
      </c>
      <c r="B36" s="62"/>
      <c r="C36" s="62"/>
      <c r="D36" s="63">
        <f>B2+SUM(D31:D35)</f>
        <v>9776.9094800000003</v>
      </c>
      <c r="E36" s="64"/>
      <c r="F36" s="64">
        <f>SUM(F9:F35)</f>
        <v>10029.456005685161</v>
      </c>
      <c r="G36" s="62"/>
      <c r="H36" s="64"/>
      <c r="I36" s="64"/>
      <c r="J36" s="72">
        <f>J9+SUM(J31:J35)</f>
        <v>245.43200107393514</v>
      </c>
      <c r="K36" s="60">
        <f>J36/D36</f>
        <v>2.5103229356475042E-2</v>
      </c>
    </row>
    <row r="48" spans="1:11" x14ac:dyDescent="0.25">
      <c r="G48" s="100"/>
    </row>
  </sheetData>
  <phoneticPr fontId="1" type="noConversion"/>
  <conditionalFormatting sqref="D1 G1 K1:X1 B6:C6">
    <cfRule type="cellIs" dxfId="20" priority="148" operator="lessThan">
      <formula>0</formula>
    </cfRule>
    <cfRule type="cellIs" dxfId="19" priority="149" operator="greaterThan">
      <formula>0</formula>
    </cfRule>
  </conditionalFormatting>
  <conditionalFormatting sqref="L4:L6">
    <cfRule type="cellIs" dxfId="18" priority="41" operator="lessThan">
      <formula>0</formula>
    </cfRule>
    <cfRule type="cellIs" dxfId="17" priority="42" operator="greaterThan">
      <formula>0.05</formula>
    </cfRule>
  </conditionalFormatting>
  <conditionalFormatting sqref="C9:C30">
    <cfRule type="cellIs" dxfId="16" priority="28" operator="greaterThan">
      <formula>0.0001</formula>
    </cfRule>
  </conditionalFormatting>
  <conditionalFormatting sqref="K9:K36">
    <cfRule type="cellIs" dxfId="15" priority="18" operator="greaterThan">
      <formula>0.05</formula>
    </cfRule>
    <cfRule type="cellIs" dxfId="14" priority="19" operator="between">
      <formula>0.01</formula>
      <formula>0.05</formula>
    </cfRule>
    <cfRule type="cellIs" dxfId="13" priority="20" operator="lessThan">
      <formula>0</formula>
    </cfRule>
  </conditionalFormatting>
  <conditionalFormatting sqref="J31:J36">
    <cfRule type="cellIs" dxfId="12" priority="14" operator="greaterThan">
      <formula>0</formula>
    </cfRule>
    <cfRule type="cellIs" dxfId="11" priority="15" operator="lessThan">
      <formula>0</formula>
    </cfRule>
  </conditionalFormatting>
  <conditionalFormatting sqref="J9">
    <cfRule type="cellIs" dxfId="10" priority="12" operator="greaterThan">
      <formula>0</formula>
    </cfRule>
    <cfRule type="cellIs" dxfId="9" priority="13" operator="lessThan">
      <formula>0</formula>
    </cfRule>
  </conditionalFormatting>
  <conditionalFormatting sqref="V9:V15">
    <cfRule type="cellIs" dxfId="8" priority="9" operator="greaterThan">
      <formula>0.05</formula>
    </cfRule>
    <cfRule type="cellIs" dxfId="7" priority="10" operator="between">
      <formula>0.01</formula>
      <formula>0.05</formula>
    </cfRule>
    <cfRule type="cellIs" dxfId="6" priority="11" operator="lessThan">
      <formula>0</formula>
    </cfRule>
  </conditionalFormatting>
  <conditionalFormatting sqref="J10:J20">
    <cfRule type="cellIs" dxfId="5" priority="4" operator="greaterThan">
      <formula>0.5</formula>
    </cfRule>
    <cfRule type="cellIs" dxfId="4" priority="5" operator="between">
      <formula>0.15</formula>
      <formula>0.5</formula>
    </cfRule>
    <cfRule type="cellIs" dxfId="3" priority="6" operator="lessThan">
      <formula>0.15</formula>
    </cfRule>
  </conditionalFormatting>
  <conditionalFormatting sqref="W9:W15">
    <cfRule type="cellIs" dxfId="2" priority="1" operator="greaterThan">
      <formula>0.05</formula>
    </cfRule>
    <cfRule type="cellIs" dxfId="1" priority="2" operator="between">
      <formula>0.01</formula>
      <formula>0.05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Prices">
              <controlPr defaultSize="0" print="0" autoFill="0" autoPict="0" macro="[0]!RefreshPrices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0"/>
  <sheetViews>
    <sheetView workbookViewId="0">
      <selection sqref="A1:B20"/>
    </sheetView>
  </sheetViews>
  <sheetFormatPr defaultRowHeight="15" x14ac:dyDescent="0.25"/>
  <cols>
    <col min="1" max="1" width="8.42578125" bestFit="1" customWidth="1"/>
    <col min="2" max="2" width="14.7109375" style="9" bestFit="1" customWidth="1"/>
  </cols>
  <sheetData>
    <row r="1" spans="1:2" x14ac:dyDescent="0.25">
      <c r="A1" t="str">
        <f t="array" ref="A1:B20">_xll.Kraken.GetBalances()</f>
        <v>ZUSD</v>
      </c>
      <c r="B1" s="9">
        <v>0</v>
      </c>
    </row>
    <row r="2" spans="1:2" x14ac:dyDescent="0.25">
      <c r="A2" t="str">
        <v>ZEUR</v>
      </c>
      <c r="B2" s="9">
        <v>0</v>
      </c>
    </row>
    <row r="3" spans="1:2" x14ac:dyDescent="0.25">
      <c r="A3" t="str">
        <v>XXBT</v>
      </c>
      <c r="B3" s="9">
        <v>6.970317E-4</v>
      </c>
    </row>
    <row r="4" spans="1:2" x14ac:dyDescent="0.25">
      <c r="A4" t="str">
        <v>XXRP</v>
      </c>
      <c r="B4" s="9">
        <v>0</v>
      </c>
    </row>
    <row r="5" spans="1:2" x14ac:dyDescent="0.25">
      <c r="A5" t="str">
        <v>XLTC</v>
      </c>
      <c r="B5" s="9">
        <v>8.9999999999999999E-8</v>
      </c>
    </row>
    <row r="6" spans="1:2" x14ac:dyDescent="0.25">
      <c r="A6" t="str">
        <v>XXLM</v>
      </c>
      <c r="B6" s="9">
        <v>0</v>
      </c>
    </row>
    <row r="7" spans="1:2" x14ac:dyDescent="0.25">
      <c r="A7" t="str">
        <v>XETH</v>
      </c>
      <c r="B7" s="9">
        <v>1.7045566113999999</v>
      </c>
    </row>
    <row r="8" spans="1:2" x14ac:dyDescent="0.25">
      <c r="A8" t="str">
        <v>XETC</v>
      </c>
      <c r="B8" s="9">
        <v>100</v>
      </c>
    </row>
    <row r="9" spans="1:2" x14ac:dyDescent="0.25">
      <c r="A9" t="str">
        <v>XZEC</v>
      </c>
      <c r="B9" s="9">
        <v>0</v>
      </c>
    </row>
    <row r="10" spans="1:2" x14ac:dyDescent="0.25">
      <c r="A10" t="str">
        <v>XXMR</v>
      </c>
      <c r="B10" s="9">
        <v>0</v>
      </c>
    </row>
    <row r="11" spans="1:2" x14ac:dyDescent="0.25">
      <c r="A11" t="str">
        <v>DASH</v>
      </c>
      <c r="B11" s="9">
        <v>4.0000000000000001E-8</v>
      </c>
    </row>
    <row r="12" spans="1:2" x14ac:dyDescent="0.25">
      <c r="A12" t="str">
        <v>EOS</v>
      </c>
      <c r="B12" s="9">
        <v>0</v>
      </c>
    </row>
    <row r="13" spans="1:2" x14ac:dyDescent="0.25">
      <c r="A13" t="str">
        <v>BCH</v>
      </c>
      <c r="B13" s="9">
        <v>0</v>
      </c>
    </row>
    <row r="14" spans="1:2" x14ac:dyDescent="0.25">
      <c r="A14" t="str">
        <v>XTZ</v>
      </c>
      <c r="B14" s="9">
        <v>0</v>
      </c>
    </row>
    <row r="15" spans="1:2" x14ac:dyDescent="0.25">
      <c r="A15" t="str">
        <v>ATOM</v>
      </c>
      <c r="B15" s="9">
        <v>0</v>
      </c>
    </row>
    <row r="16" spans="1:2" x14ac:dyDescent="0.25">
      <c r="A16" t="str">
        <v>SC</v>
      </c>
      <c r="B16" s="9">
        <v>0</v>
      </c>
    </row>
    <row r="17" spans="1:2" x14ac:dyDescent="0.25">
      <c r="A17" t="str">
        <v>LINK</v>
      </c>
      <c r="B17" s="9">
        <v>2.9999999999999997E-8</v>
      </c>
    </row>
    <row r="18" spans="1:2" x14ac:dyDescent="0.25">
      <c r="A18" t="str">
        <v>TRX</v>
      </c>
      <c r="B18" s="9">
        <v>16000.000000030001</v>
      </c>
    </row>
    <row r="19" spans="1:2" x14ac:dyDescent="0.25">
      <c r="A19" t="str">
        <v>KAVA</v>
      </c>
      <c r="B19" s="9">
        <v>75</v>
      </c>
    </row>
    <row r="20" spans="1:2" x14ac:dyDescent="0.25">
      <c r="A20" t="e">
        <v>#N/A</v>
      </c>
      <c r="B20" s="9" t="e"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00"/>
  <sheetViews>
    <sheetView workbookViewId="0">
      <selection activeCell="B1" sqref="B1"/>
    </sheetView>
  </sheetViews>
  <sheetFormatPr defaultRowHeight="15" x14ac:dyDescent="0.25"/>
  <cols>
    <col min="1" max="1" width="10.28515625" bestFit="1" customWidth="1"/>
    <col min="2" max="3" width="14.7109375" style="9" bestFit="1" customWidth="1"/>
  </cols>
  <sheetData>
    <row r="1" spans="1:3" x14ac:dyDescent="0.25">
      <c r="A1" t="str">
        <f t="array" ref="A1:C100">_xll.Kraken.GetPrices(Portfolio!B9:B30)</f>
        <v>ATOMXBT</v>
      </c>
      <c r="B1" s="9">
        <v>4.975E-4</v>
      </c>
      <c r="C1" s="9">
        <v>4.9620000000000003E-4</v>
      </c>
    </row>
    <row r="2" spans="1:3" x14ac:dyDescent="0.25">
      <c r="A2" t="str">
        <v>DASHXBT</v>
      </c>
      <c r="B2" s="9">
        <v>8.0599999999999995E-3</v>
      </c>
      <c r="C2" s="9">
        <v>8.0400000000000003E-3</v>
      </c>
    </row>
    <row r="3" spans="1:3" x14ac:dyDescent="0.25">
      <c r="A3" t="str">
        <v>EOSXBT</v>
      </c>
      <c r="B3" s="9">
        <v>3.1300000000000002E-4</v>
      </c>
      <c r="C3" s="9">
        <v>3.1250000000000001E-4</v>
      </c>
    </row>
    <row r="4" spans="1:3" x14ac:dyDescent="0.25">
      <c r="A4" t="str">
        <v>KAVAXBT</v>
      </c>
      <c r="B4" s="9">
        <v>4.1718000000000001E-4</v>
      </c>
      <c r="C4" s="9">
        <v>4.1386E-4</v>
      </c>
    </row>
    <row r="5" spans="1:3" x14ac:dyDescent="0.25">
      <c r="A5" t="str">
        <v>LINKXBT</v>
      </c>
      <c r="B5" s="9">
        <v>1.55448E-3</v>
      </c>
      <c r="C5" s="9">
        <v>1.5516799999999999E-3</v>
      </c>
    </row>
    <row r="6" spans="1:3" x14ac:dyDescent="0.25">
      <c r="A6" t="str">
        <v>TRXXBT</v>
      </c>
      <c r="B6" s="9">
        <v>2.4391999999999999E-6</v>
      </c>
      <c r="C6" s="9">
        <v>2.4351000000000002E-6</v>
      </c>
    </row>
    <row r="7" spans="1:3" x14ac:dyDescent="0.25">
      <c r="A7" t="str">
        <v>XETCXXBT</v>
      </c>
      <c r="B7" s="9">
        <v>6.0999999999999997E-4</v>
      </c>
      <c r="C7" s="9">
        <v>6.0599999999999998E-4</v>
      </c>
    </row>
    <row r="8" spans="1:3" x14ac:dyDescent="0.25">
      <c r="A8" t="str">
        <v>XETHXXBT</v>
      </c>
      <c r="B8" s="9">
        <v>3.5470000000000002E-2</v>
      </c>
      <c r="C8" s="9">
        <v>3.5459999999999998E-2</v>
      </c>
    </row>
    <row r="9" spans="1:3" x14ac:dyDescent="0.25">
      <c r="A9" t="str">
        <v>XETHZUSD</v>
      </c>
      <c r="B9" s="9">
        <v>431.75</v>
      </c>
      <c r="C9" s="9">
        <v>431.68</v>
      </c>
    </row>
    <row r="10" spans="1:3" x14ac:dyDescent="0.25">
      <c r="A10" t="str">
        <v>XLTCXXBT</v>
      </c>
      <c r="B10" s="9">
        <v>5.2849999999999998E-3</v>
      </c>
      <c r="C10" s="9">
        <v>5.2830000000000004E-3</v>
      </c>
    </row>
    <row r="11" spans="1:3" x14ac:dyDescent="0.25">
      <c r="A11" t="str">
        <v>XTZXBT</v>
      </c>
      <c r="B11" s="9">
        <v>3.389E-4</v>
      </c>
      <c r="C11" s="9">
        <v>3.3839999999999999E-4</v>
      </c>
    </row>
    <row r="12" spans="1:3" x14ac:dyDescent="0.25">
      <c r="A12" t="str">
        <v>XXBTZEUR</v>
      </c>
      <c r="B12" s="9">
        <v>10260</v>
      </c>
      <c r="C12" s="9">
        <v>10259.9</v>
      </c>
    </row>
    <row r="13" spans="1:3" x14ac:dyDescent="0.25">
      <c r="A13" t="str">
        <v>XXBTZUSD</v>
      </c>
      <c r="B13" s="9">
        <v>12167.4</v>
      </c>
      <c r="C13" s="9">
        <v>12167.3</v>
      </c>
    </row>
    <row r="14" spans="1:3" x14ac:dyDescent="0.25">
      <c r="A14" t="str">
        <v>XXRPXXBT</v>
      </c>
      <c r="B14" s="9">
        <v>2.5760000000000001E-5</v>
      </c>
      <c r="C14" s="9">
        <v>2.5740000000000001E-5</v>
      </c>
    </row>
    <row r="15" spans="1:3" x14ac:dyDescent="0.25">
      <c r="A15" t="str">
        <v>ZEURZUSD</v>
      </c>
      <c r="B15" s="9">
        <v>1.1860299999999999</v>
      </c>
      <c r="C15" s="9">
        <v>1.1854499999999999</v>
      </c>
    </row>
    <row r="16" spans="1:3" x14ac:dyDescent="0.25">
      <c r="A16" t="str">
        <v>ZGBPZUSD</v>
      </c>
      <c r="B16" s="9">
        <v>1.3061100000000001</v>
      </c>
      <c r="C16" s="9">
        <v>1.3052299999999999</v>
      </c>
    </row>
    <row r="17" spans="1:3" x14ac:dyDescent="0.25">
      <c r="A17" t="e">
        <v>#N/A</v>
      </c>
      <c r="B17" s="9" t="e">
        <v>#N/A</v>
      </c>
      <c r="C17" s="9" t="e">
        <v>#N/A</v>
      </c>
    </row>
    <row r="18" spans="1:3" x14ac:dyDescent="0.25">
      <c r="A18" t="e">
        <v>#N/A</v>
      </c>
      <c r="B18" s="9" t="e">
        <v>#N/A</v>
      </c>
      <c r="C18" s="9" t="e">
        <v>#N/A</v>
      </c>
    </row>
    <row r="19" spans="1:3" x14ac:dyDescent="0.25">
      <c r="A19" t="e">
        <v>#N/A</v>
      </c>
      <c r="B19" s="9" t="e">
        <v>#N/A</v>
      </c>
      <c r="C19" s="9" t="e">
        <v>#N/A</v>
      </c>
    </row>
    <row r="20" spans="1:3" x14ac:dyDescent="0.25">
      <c r="A20" t="e">
        <v>#N/A</v>
      </c>
      <c r="B20" s="9" t="e">
        <v>#N/A</v>
      </c>
      <c r="C20" s="9" t="e">
        <v>#N/A</v>
      </c>
    </row>
    <row r="21" spans="1:3" x14ac:dyDescent="0.25">
      <c r="A21" t="e">
        <v>#N/A</v>
      </c>
      <c r="B21" s="9" t="e">
        <v>#N/A</v>
      </c>
      <c r="C21" s="9" t="e">
        <v>#N/A</v>
      </c>
    </row>
    <row r="22" spans="1:3" x14ac:dyDescent="0.25">
      <c r="A22" t="e">
        <v>#N/A</v>
      </c>
      <c r="B22" s="9" t="e">
        <v>#N/A</v>
      </c>
      <c r="C22" s="9" t="e">
        <v>#N/A</v>
      </c>
    </row>
    <row r="23" spans="1:3" x14ac:dyDescent="0.25">
      <c r="A23" t="e">
        <v>#N/A</v>
      </c>
      <c r="B23" s="9" t="e">
        <v>#N/A</v>
      </c>
      <c r="C23" s="9" t="e">
        <v>#N/A</v>
      </c>
    </row>
    <row r="24" spans="1:3" x14ac:dyDescent="0.25">
      <c r="A24" t="e">
        <v>#N/A</v>
      </c>
      <c r="B24" s="9" t="e">
        <v>#N/A</v>
      </c>
      <c r="C24" s="9" t="e">
        <v>#N/A</v>
      </c>
    </row>
    <row r="25" spans="1:3" x14ac:dyDescent="0.25">
      <c r="A25" t="e">
        <v>#N/A</v>
      </c>
      <c r="B25" s="9" t="e">
        <v>#N/A</v>
      </c>
      <c r="C25" s="9" t="e">
        <v>#N/A</v>
      </c>
    </row>
    <row r="26" spans="1:3" x14ac:dyDescent="0.25">
      <c r="A26" t="e">
        <v>#N/A</v>
      </c>
      <c r="B26" s="9" t="e">
        <v>#N/A</v>
      </c>
      <c r="C26" s="9" t="e">
        <v>#N/A</v>
      </c>
    </row>
    <row r="27" spans="1:3" x14ac:dyDescent="0.25">
      <c r="A27" t="e">
        <v>#N/A</v>
      </c>
      <c r="B27" s="9" t="e">
        <v>#N/A</v>
      </c>
      <c r="C27" s="9" t="e">
        <v>#N/A</v>
      </c>
    </row>
    <row r="28" spans="1:3" x14ac:dyDescent="0.25">
      <c r="A28" t="e">
        <v>#N/A</v>
      </c>
      <c r="B28" s="9" t="e">
        <v>#N/A</v>
      </c>
      <c r="C28" s="9" t="e">
        <v>#N/A</v>
      </c>
    </row>
    <row r="29" spans="1:3" x14ac:dyDescent="0.25">
      <c r="A29" t="e">
        <v>#N/A</v>
      </c>
      <c r="B29" s="9" t="e">
        <v>#N/A</v>
      </c>
      <c r="C29" s="9" t="e">
        <v>#N/A</v>
      </c>
    </row>
    <row r="30" spans="1:3" x14ac:dyDescent="0.25">
      <c r="A30" t="e">
        <v>#N/A</v>
      </c>
      <c r="B30" s="9" t="e">
        <v>#N/A</v>
      </c>
      <c r="C30" s="9" t="e">
        <v>#N/A</v>
      </c>
    </row>
    <row r="31" spans="1:3" x14ac:dyDescent="0.25">
      <c r="A31" t="e">
        <v>#N/A</v>
      </c>
      <c r="B31" s="9" t="e">
        <v>#N/A</v>
      </c>
      <c r="C31" s="9" t="e">
        <v>#N/A</v>
      </c>
    </row>
    <row r="32" spans="1:3" x14ac:dyDescent="0.25">
      <c r="A32" t="e">
        <v>#N/A</v>
      </c>
      <c r="B32" s="9" t="e">
        <v>#N/A</v>
      </c>
      <c r="C32" s="9" t="e">
        <v>#N/A</v>
      </c>
    </row>
    <row r="33" spans="1:3" x14ac:dyDescent="0.25">
      <c r="A33" t="e">
        <v>#N/A</v>
      </c>
      <c r="B33" s="9" t="e">
        <v>#N/A</v>
      </c>
      <c r="C33" s="9" t="e">
        <v>#N/A</v>
      </c>
    </row>
    <row r="34" spans="1:3" x14ac:dyDescent="0.25">
      <c r="A34" t="e">
        <v>#N/A</v>
      </c>
      <c r="B34" s="9" t="e">
        <v>#N/A</v>
      </c>
      <c r="C34" s="9" t="e">
        <v>#N/A</v>
      </c>
    </row>
    <row r="35" spans="1:3" x14ac:dyDescent="0.25">
      <c r="A35" t="e">
        <v>#N/A</v>
      </c>
      <c r="B35" s="9" t="e">
        <v>#N/A</v>
      </c>
      <c r="C35" s="9" t="e">
        <v>#N/A</v>
      </c>
    </row>
    <row r="36" spans="1:3" x14ac:dyDescent="0.25">
      <c r="A36" t="e">
        <v>#N/A</v>
      </c>
      <c r="B36" s="9" t="e">
        <v>#N/A</v>
      </c>
      <c r="C36" s="9" t="e">
        <v>#N/A</v>
      </c>
    </row>
    <row r="37" spans="1:3" x14ac:dyDescent="0.25">
      <c r="A37" t="e">
        <v>#N/A</v>
      </c>
      <c r="B37" s="9" t="e">
        <v>#N/A</v>
      </c>
      <c r="C37" s="9" t="e">
        <v>#N/A</v>
      </c>
    </row>
    <row r="38" spans="1:3" x14ac:dyDescent="0.25">
      <c r="A38" t="e">
        <v>#N/A</v>
      </c>
      <c r="B38" s="9" t="e">
        <v>#N/A</v>
      </c>
      <c r="C38" s="9" t="e">
        <v>#N/A</v>
      </c>
    </row>
    <row r="39" spans="1:3" x14ac:dyDescent="0.25">
      <c r="A39" t="e">
        <v>#N/A</v>
      </c>
      <c r="B39" s="9" t="e">
        <v>#N/A</v>
      </c>
      <c r="C39" s="9" t="e">
        <v>#N/A</v>
      </c>
    </row>
    <row r="40" spans="1:3" x14ac:dyDescent="0.25">
      <c r="A40" t="e">
        <v>#N/A</v>
      </c>
      <c r="B40" s="9" t="e">
        <v>#N/A</v>
      </c>
      <c r="C40" s="9" t="e">
        <v>#N/A</v>
      </c>
    </row>
    <row r="41" spans="1:3" x14ac:dyDescent="0.25">
      <c r="A41" t="e">
        <v>#N/A</v>
      </c>
      <c r="B41" s="9" t="e">
        <v>#N/A</v>
      </c>
      <c r="C41" s="9" t="e">
        <v>#N/A</v>
      </c>
    </row>
    <row r="42" spans="1:3" x14ac:dyDescent="0.25">
      <c r="A42" t="e">
        <v>#N/A</v>
      </c>
      <c r="B42" s="9" t="e">
        <v>#N/A</v>
      </c>
      <c r="C42" s="9" t="e">
        <v>#N/A</v>
      </c>
    </row>
    <row r="43" spans="1:3" x14ac:dyDescent="0.25">
      <c r="A43" t="e">
        <v>#N/A</v>
      </c>
      <c r="B43" s="9" t="e">
        <v>#N/A</v>
      </c>
      <c r="C43" s="9" t="e">
        <v>#N/A</v>
      </c>
    </row>
    <row r="44" spans="1:3" x14ac:dyDescent="0.25">
      <c r="A44" t="e">
        <v>#N/A</v>
      </c>
      <c r="B44" s="9" t="e">
        <v>#N/A</v>
      </c>
      <c r="C44" s="9" t="e">
        <v>#N/A</v>
      </c>
    </row>
    <row r="45" spans="1:3" x14ac:dyDescent="0.25">
      <c r="A45" t="e">
        <v>#N/A</v>
      </c>
      <c r="B45" s="9" t="e">
        <v>#N/A</v>
      </c>
      <c r="C45" s="9" t="e">
        <v>#N/A</v>
      </c>
    </row>
    <row r="46" spans="1:3" x14ac:dyDescent="0.25">
      <c r="A46" t="e">
        <v>#N/A</v>
      </c>
      <c r="B46" s="9" t="e">
        <v>#N/A</v>
      </c>
      <c r="C46" s="9" t="e">
        <v>#N/A</v>
      </c>
    </row>
    <row r="47" spans="1:3" x14ac:dyDescent="0.25">
      <c r="A47" t="e">
        <v>#N/A</v>
      </c>
      <c r="B47" s="9" t="e">
        <v>#N/A</v>
      </c>
      <c r="C47" s="9" t="e">
        <v>#N/A</v>
      </c>
    </row>
    <row r="48" spans="1:3" x14ac:dyDescent="0.25">
      <c r="A48" t="e">
        <v>#N/A</v>
      </c>
      <c r="B48" s="9" t="e">
        <v>#N/A</v>
      </c>
      <c r="C48" s="9" t="e">
        <v>#N/A</v>
      </c>
    </row>
    <row r="49" spans="1:3" x14ac:dyDescent="0.25">
      <c r="A49" t="e">
        <v>#N/A</v>
      </c>
      <c r="B49" s="9" t="e">
        <v>#N/A</v>
      </c>
      <c r="C49" s="9" t="e">
        <v>#N/A</v>
      </c>
    </row>
    <row r="50" spans="1:3" x14ac:dyDescent="0.25">
      <c r="A50" t="e">
        <v>#N/A</v>
      </c>
      <c r="B50" s="9" t="e">
        <v>#N/A</v>
      </c>
      <c r="C50" s="9" t="e">
        <v>#N/A</v>
      </c>
    </row>
    <row r="51" spans="1:3" x14ac:dyDescent="0.25">
      <c r="A51" t="e">
        <v>#N/A</v>
      </c>
      <c r="B51" s="9" t="e">
        <v>#N/A</v>
      </c>
      <c r="C51" s="9" t="e">
        <v>#N/A</v>
      </c>
    </row>
    <row r="52" spans="1:3" x14ac:dyDescent="0.25">
      <c r="A52" t="e">
        <v>#N/A</v>
      </c>
      <c r="B52" s="9" t="e">
        <v>#N/A</v>
      </c>
      <c r="C52" s="9" t="e">
        <v>#N/A</v>
      </c>
    </row>
    <row r="53" spans="1:3" x14ac:dyDescent="0.25">
      <c r="A53" t="e">
        <v>#N/A</v>
      </c>
      <c r="B53" s="9" t="e">
        <v>#N/A</v>
      </c>
      <c r="C53" s="9" t="e">
        <v>#N/A</v>
      </c>
    </row>
    <row r="54" spans="1:3" x14ac:dyDescent="0.25">
      <c r="A54" t="e">
        <v>#N/A</v>
      </c>
      <c r="B54" s="9" t="e">
        <v>#N/A</v>
      </c>
      <c r="C54" s="9" t="e">
        <v>#N/A</v>
      </c>
    </row>
    <row r="55" spans="1:3" x14ac:dyDescent="0.25">
      <c r="A55" t="e">
        <v>#N/A</v>
      </c>
      <c r="B55" s="9" t="e">
        <v>#N/A</v>
      </c>
      <c r="C55" s="9" t="e">
        <v>#N/A</v>
      </c>
    </row>
    <row r="56" spans="1:3" x14ac:dyDescent="0.25">
      <c r="A56" t="e">
        <v>#N/A</v>
      </c>
      <c r="B56" s="9" t="e">
        <v>#N/A</v>
      </c>
      <c r="C56" s="9" t="e">
        <v>#N/A</v>
      </c>
    </row>
    <row r="57" spans="1:3" x14ac:dyDescent="0.25">
      <c r="A57" t="e">
        <v>#N/A</v>
      </c>
      <c r="B57" s="9" t="e">
        <v>#N/A</v>
      </c>
      <c r="C57" s="9" t="e">
        <v>#N/A</v>
      </c>
    </row>
    <row r="58" spans="1:3" x14ac:dyDescent="0.25">
      <c r="A58" t="e">
        <v>#N/A</v>
      </c>
      <c r="B58" s="9" t="e">
        <v>#N/A</v>
      </c>
      <c r="C58" s="9" t="e">
        <v>#N/A</v>
      </c>
    </row>
    <row r="59" spans="1:3" x14ac:dyDescent="0.25">
      <c r="A59" t="e">
        <v>#N/A</v>
      </c>
      <c r="B59" s="9" t="e">
        <v>#N/A</v>
      </c>
      <c r="C59" s="9" t="e">
        <v>#N/A</v>
      </c>
    </row>
    <row r="60" spans="1:3" x14ac:dyDescent="0.25">
      <c r="A60" t="e">
        <v>#N/A</v>
      </c>
      <c r="B60" s="9" t="e">
        <v>#N/A</v>
      </c>
      <c r="C60" s="9" t="e">
        <v>#N/A</v>
      </c>
    </row>
    <row r="61" spans="1:3" x14ac:dyDescent="0.25">
      <c r="A61" t="e">
        <v>#N/A</v>
      </c>
      <c r="B61" s="9" t="e">
        <v>#N/A</v>
      </c>
      <c r="C61" s="9" t="e">
        <v>#N/A</v>
      </c>
    </row>
    <row r="62" spans="1:3" x14ac:dyDescent="0.25">
      <c r="A62" t="e">
        <v>#N/A</v>
      </c>
      <c r="B62" s="9" t="e">
        <v>#N/A</v>
      </c>
      <c r="C62" s="9" t="e">
        <v>#N/A</v>
      </c>
    </row>
    <row r="63" spans="1:3" x14ac:dyDescent="0.25">
      <c r="A63" t="e">
        <v>#N/A</v>
      </c>
      <c r="B63" s="9" t="e">
        <v>#N/A</v>
      </c>
      <c r="C63" s="9" t="e">
        <v>#N/A</v>
      </c>
    </row>
    <row r="64" spans="1:3" x14ac:dyDescent="0.25">
      <c r="A64" t="e">
        <v>#N/A</v>
      </c>
      <c r="B64" s="9" t="e">
        <v>#N/A</v>
      </c>
      <c r="C64" s="9" t="e">
        <v>#N/A</v>
      </c>
    </row>
    <row r="65" spans="1:3" x14ac:dyDescent="0.25">
      <c r="A65" t="e">
        <v>#N/A</v>
      </c>
      <c r="B65" s="9" t="e">
        <v>#N/A</v>
      </c>
      <c r="C65" s="9" t="e">
        <v>#N/A</v>
      </c>
    </row>
    <row r="66" spans="1:3" x14ac:dyDescent="0.25">
      <c r="A66" t="e">
        <v>#N/A</v>
      </c>
      <c r="B66" s="9" t="e">
        <v>#N/A</v>
      </c>
      <c r="C66" s="9" t="e">
        <v>#N/A</v>
      </c>
    </row>
    <row r="67" spans="1:3" x14ac:dyDescent="0.25">
      <c r="A67" t="e">
        <v>#N/A</v>
      </c>
      <c r="B67" s="9" t="e">
        <v>#N/A</v>
      </c>
      <c r="C67" s="9" t="e">
        <v>#N/A</v>
      </c>
    </row>
    <row r="68" spans="1:3" x14ac:dyDescent="0.25">
      <c r="A68" t="e">
        <v>#N/A</v>
      </c>
      <c r="B68" s="9" t="e">
        <v>#N/A</v>
      </c>
      <c r="C68" s="9" t="e">
        <v>#N/A</v>
      </c>
    </row>
    <row r="69" spans="1:3" x14ac:dyDescent="0.25">
      <c r="A69" t="e">
        <v>#N/A</v>
      </c>
      <c r="B69" s="9" t="e">
        <v>#N/A</v>
      </c>
      <c r="C69" s="9" t="e">
        <v>#N/A</v>
      </c>
    </row>
    <row r="70" spans="1:3" x14ac:dyDescent="0.25">
      <c r="A70" t="e">
        <v>#N/A</v>
      </c>
      <c r="B70" s="9" t="e">
        <v>#N/A</v>
      </c>
      <c r="C70" s="9" t="e">
        <v>#N/A</v>
      </c>
    </row>
    <row r="71" spans="1:3" x14ac:dyDescent="0.25">
      <c r="A71" t="e">
        <v>#N/A</v>
      </c>
      <c r="B71" s="9" t="e">
        <v>#N/A</v>
      </c>
      <c r="C71" s="9" t="e">
        <v>#N/A</v>
      </c>
    </row>
    <row r="72" spans="1:3" x14ac:dyDescent="0.25">
      <c r="A72" t="e">
        <v>#N/A</v>
      </c>
      <c r="B72" s="9" t="e">
        <v>#N/A</v>
      </c>
      <c r="C72" s="9" t="e">
        <v>#N/A</v>
      </c>
    </row>
    <row r="73" spans="1:3" x14ac:dyDescent="0.25">
      <c r="A73" t="e">
        <v>#N/A</v>
      </c>
      <c r="B73" s="9" t="e">
        <v>#N/A</v>
      </c>
      <c r="C73" s="9" t="e">
        <v>#N/A</v>
      </c>
    </row>
    <row r="74" spans="1:3" x14ac:dyDescent="0.25">
      <c r="A74" t="e">
        <v>#N/A</v>
      </c>
      <c r="B74" s="9" t="e">
        <v>#N/A</v>
      </c>
      <c r="C74" s="9" t="e">
        <v>#N/A</v>
      </c>
    </row>
    <row r="75" spans="1:3" x14ac:dyDescent="0.25">
      <c r="A75" t="e">
        <v>#N/A</v>
      </c>
      <c r="B75" s="9" t="e">
        <v>#N/A</v>
      </c>
      <c r="C75" s="9" t="e">
        <v>#N/A</v>
      </c>
    </row>
    <row r="76" spans="1:3" x14ac:dyDescent="0.25">
      <c r="A76" t="e">
        <v>#N/A</v>
      </c>
      <c r="B76" s="9" t="e">
        <v>#N/A</v>
      </c>
      <c r="C76" s="9" t="e">
        <v>#N/A</v>
      </c>
    </row>
    <row r="77" spans="1:3" x14ac:dyDescent="0.25">
      <c r="A77" t="e">
        <v>#N/A</v>
      </c>
      <c r="B77" s="9" t="e">
        <v>#N/A</v>
      </c>
      <c r="C77" s="9" t="e">
        <v>#N/A</v>
      </c>
    </row>
    <row r="78" spans="1:3" x14ac:dyDescent="0.25">
      <c r="A78" t="e">
        <v>#N/A</v>
      </c>
      <c r="B78" s="9" t="e">
        <v>#N/A</v>
      </c>
      <c r="C78" s="9" t="e">
        <v>#N/A</v>
      </c>
    </row>
    <row r="79" spans="1:3" x14ac:dyDescent="0.25">
      <c r="A79" t="e">
        <v>#N/A</v>
      </c>
      <c r="B79" s="9" t="e">
        <v>#N/A</v>
      </c>
      <c r="C79" s="9" t="e">
        <v>#N/A</v>
      </c>
    </row>
    <row r="80" spans="1:3" x14ac:dyDescent="0.25">
      <c r="A80" t="e">
        <v>#N/A</v>
      </c>
      <c r="B80" s="9" t="e">
        <v>#N/A</v>
      </c>
      <c r="C80" s="9" t="e">
        <v>#N/A</v>
      </c>
    </row>
    <row r="81" spans="1:3" x14ac:dyDescent="0.25">
      <c r="A81" t="e">
        <v>#N/A</v>
      </c>
      <c r="B81" s="9" t="e">
        <v>#N/A</v>
      </c>
      <c r="C81" s="9" t="e">
        <v>#N/A</v>
      </c>
    </row>
    <row r="82" spans="1:3" x14ac:dyDescent="0.25">
      <c r="A82" t="e">
        <v>#N/A</v>
      </c>
      <c r="B82" s="9" t="e">
        <v>#N/A</v>
      </c>
      <c r="C82" s="9" t="e">
        <v>#N/A</v>
      </c>
    </row>
    <row r="83" spans="1:3" x14ac:dyDescent="0.25">
      <c r="A83" t="e">
        <v>#N/A</v>
      </c>
      <c r="B83" s="9" t="e">
        <v>#N/A</v>
      </c>
      <c r="C83" s="9" t="e">
        <v>#N/A</v>
      </c>
    </row>
    <row r="84" spans="1:3" x14ac:dyDescent="0.25">
      <c r="A84" t="e">
        <v>#N/A</v>
      </c>
      <c r="B84" s="9" t="e">
        <v>#N/A</v>
      </c>
      <c r="C84" s="9" t="e">
        <v>#N/A</v>
      </c>
    </row>
    <row r="85" spans="1:3" x14ac:dyDescent="0.25">
      <c r="A85" t="e">
        <v>#N/A</v>
      </c>
      <c r="B85" s="9" t="e">
        <v>#N/A</v>
      </c>
      <c r="C85" s="9" t="e">
        <v>#N/A</v>
      </c>
    </row>
    <row r="86" spans="1:3" x14ac:dyDescent="0.25">
      <c r="A86" t="e">
        <v>#N/A</v>
      </c>
      <c r="B86" s="9" t="e">
        <v>#N/A</v>
      </c>
      <c r="C86" s="9" t="e">
        <v>#N/A</v>
      </c>
    </row>
    <row r="87" spans="1:3" x14ac:dyDescent="0.25">
      <c r="A87" t="e">
        <v>#N/A</v>
      </c>
      <c r="B87" s="9" t="e">
        <v>#N/A</v>
      </c>
      <c r="C87" s="9" t="e">
        <v>#N/A</v>
      </c>
    </row>
    <row r="88" spans="1:3" x14ac:dyDescent="0.25">
      <c r="A88" t="e">
        <v>#N/A</v>
      </c>
      <c r="B88" s="9" t="e">
        <v>#N/A</v>
      </c>
      <c r="C88" s="9" t="e">
        <v>#N/A</v>
      </c>
    </row>
    <row r="89" spans="1:3" x14ac:dyDescent="0.25">
      <c r="A89" t="e">
        <v>#N/A</v>
      </c>
      <c r="B89" s="9" t="e">
        <v>#N/A</v>
      </c>
      <c r="C89" s="9" t="e">
        <v>#N/A</v>
      </c>
    </row>
    <row r="90" spans="1:3" x14ac:dyDescent="0.25">
      <c r="A90" t="e">
        <v>#N/A</v>
      </c>
      <c r="B90" s="9" t="e">
        <v>#N/A</v>
      </c>
      <c r="C90" s="9" t="e">
        <v>#N/A</v>
      </c>
    </row>
    <row r="91" spans="1:3" x14ac:dyDescent="0.25">
      <c r="A91" t="e">
        <v>#N/A</v>
      </c>
      <c r="B91" s="9" t="e">
        <v>#N/A</v>
      </c>
      <c r="C91" s="9" t="e">
        <v>#N/A</v>
      </c>
    </row>
    <row r="92" spans="1:3" x14ac:dyDescent="0.25">
      <c r="A92" t="e">
        <v>#N/A</v>
      </c>
      <c r="B92" s="9" t="e">
        <v>#N/A</v>
      </c>
      <c r="C92" s="9" t="e">
        <v>#N/A</v>
      </c>
    </row>
    <row r="93" spans="1:3" x14ac:dyDescent="0.25">
      <c r="A93" t="e">
        <v>#N/A</v>
      </c>
      <c r="B93" s="9" t="e">
        <v>#N/A</v>
      </c>
      <c r="C93" s="9" t="e">
        <v>#N/A</v>
      </c>
    </row>
    <row r="94" spans="1:3" x14ac:dyDescent="0.25">
      <c r="A94" t="e">
        <v>#N/A</v>
      </c>
      <c r="B94" s="9" t="e">
        <v>#N/A</v>
      </c>
      <c r="C94" s="9" t="e">
        <v>#N/A</v>
      </c>
    </row>
    <row r="95" spans="1:3" x14ac:dyDescent="0.25">
      <c r="A95" t="e">
        <v>#N/A</v>
      </c>
      <c r="B95" s="9" t="e">
        <v>#N/A</v>
      </c>
      <c r="C95" s="9" t="e">
        <v>#N/A</v>
      </c>
    </row>
    <row r="96" spans="1:3" x14ac:dyDescent="0.25">
      <c r="A96" t="e">
        <v>#N/A</v>
      </c>
      <c r="B96" s="9" t="e">
        <v>#N/A</v>
      </c>
      <c r="C96" s="9" t="e">
        <v>#N/A</v>
      </c>
    </row>
    <row r="97" spans="1:3" x14ac:dyDescent="0.25">
      <c r="A97" t="e">
        <v>#N/A</v>
      </c>
      <c r="B97" s="9" t="e">
        <v>#N/A</v>
      </c>
      <c r="C97" s="9" t="e">
        <v>#N/A</v>
      </c>
    </row>
    <row r="98" spans="1:3" x14ac:dyDescent="0.25">
      <c r="A98" t="e">
        <v>#N/A</v>
      </c>
      <c r="B98" s="9" t="e">
        <v>#N/A</v>
      </c>
      <c r="C98" s="9" t="e">
        <v>#N/A</v>
      </c>
    </row>
    <row r="99" spans="1:3" x14ac:dyDescent="0.25">
      <c r="A99" t="e">
        <v>#N/A</v>
      </c>
      <c r="B99" s="9" t="e">
        <v>#N/A</v>
      </c>
      <c r="C99" s="9" t="e">
        <v>#N/A</v>
      </c>
    </row>
    <row r="100" spans="1:3" x14ac:dyDescent="0.25">
      <c r="A100" t="e">
        <v>#N/A</v>
      </c>
      <c r="B100" s="9" t="e">
        <v>#N/A</v>
      </c>
      <c r="C100" s="9" t="e">
        <v>#N/A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00"/>
  <sheetViews>
    <sheetView workbookViewId="0">
      <selection activeCell="I2" sqref="I2"/>
    </sheetView>
  </sheetViews>
  <sheetFormatPr defaultRowHeight="15" x14ac:dyDescent="0.25"/>
  <cols>
    <col min="1" max="1" width="10.7109375" customWidth="1"/>
    <col min="2" max="2" width="18.7109375" bestFit="1" customWidth="1"/>
    <col min="3" max="3" width="5.5703125" style="27" bestFit="1" customWidth="1"/>
    <col min="4" max="4" width="15.140625" style="9" customWidth="1"/>
    <col min="5" max="5" width="15.42578125" style="9" customWidth="1"/>
    <col min="6" max="6" width="12.7109375" style="9" bestFit="1" customWidth="1"/>
    <col min="7" max="7" width="11.85546875" style="9" bestFit="1" customWidth="1"/>
    <col min="9" max="9" width="11.85546875" customWidth="1"/>
    <col min="11" max="11" width="19.28515625" customWidth="1"/>
    <col min="14" max="14" width="10" bestFit="1" customWidth="1"/>
  </cols>
  <sheetData>
    <row r="1" spans="1:11" ht="15.75" thickBot="1" x14ac:dyDescent="0.3">
      <c r="A1" s="21" t="s">
        <v>14</v>
      </c>
      <c r="B1" s="22" t="s">
        <v>15</v>
      </c>
      <c r="C1" s="22" t="s">
        <v>16</v>
      </c>
      <c r="D1" s="23" t="s">
        <v>17</v>
      </c>
      <c r="E1" s="23" t="s">
        <v>18</v>
      </c>
      <c r="F1" s="23" t="s">
        <v>19</v>
      </c>
      <c r="G1" s="24" t="s">
        <v>20</v>
      </c>
    </row>
    <row r="2" spans="1:11" x14ac:dyDescent="0.25">
      <c r="A2" s="11" t="str">
        <f t="array" ref="A2:G200" ca="1">_xll.Kraken.GetTradesHistory(TODAY()-7,TODAY()+1)</f>
        <v>XETCXETH</v>
      </c>
      <c r="B2" s="12" t="str">
        <f ca="1"/>
        <v>17/08/2020 02:05:54</v>
      </c>
      <c r="C2" s="25" t="str">
        <f ca="1"/>
        <v>sell</v>
      </c>
      <c r="D2" s="13">
        <f ca="1"/>
        <v>100</v>
      </c>
      <c r="E2" s="13">
        <f ca="1"/>
        <v>1.7090000000000001E-2</v>
      </c>
      <c r="F2" s="13">
        <f ca="1"/>
        <v>1.7090000000000001</v>
      </c>
      <c r="G2" s="14">
        <f ca="1"/>
        <v>4.4434000000000001E-3</v>
      </c>
      <c r="I2" s="9">
        <f ca="1">F2+G2</f>
        <v>1.7134434000000001</v>
      </c>
      <c r="K2" s="9"/>
    </row>
    <row r="3" spans="1:11" x14ac:dyDescent="0.25">
      <c r="A3" s="15" t="str">
        <f ca="1"/>
        <v>TRXXBT</v>
      </c>
      <c r="B3" s="3" t="str">
        <f ca="1"/>
        <v>17/08/2020 01:46:47</v>
      </c>
      <c r="C3" s="7" t="str">
        <f ca="1"/>
        <v>buy</v>
      </c>
      <c r="D3" s="16">
        <f ca="1"/>
        <v>1000</v>
      </c>
      <c r="E3" s="16">
        <f ca="1"/>
        <v>2.4134999999999998E-6</v>
      </c>
      <c r="F3" s="16">
        <f ca="1"/>
        <v>2.4134999999999998E-3</v>
      </c>
      <c r="G3" s="5">
        <f ca="1"/>
        <v>6.2751000000000003E-6</v>
      </c>
      <c r="I3" s="9">
        <f t="shared" ref="I3:I66" ca="1" si="0">F3+G3</f>
        <v>2.4197750999999999E-3</v>
      </c>
    </row>
    <row r="4" spans="1:11" x14ac:dyDescent="0.25">
      <c r="A4" s="15" t="str">
        <f ca="1"/>
        <v>KAVAXBT</v>
      </c>
      <c r="B4" s="3" t="str">
        <f ca="1"/>
        <v>17/08/2020 01:29:21</v>
      </c>
      <c r="C4" s="7" t="str">
        <f ca="1"/>
        <v>buy</v>
      </c>
      <c r="D4" s="16">
        <f ca="1"/>
        <v>75</v>
      </c>
      <c r="E4" s="16">
        <f ca="1"/>
        <v>4.1729000000000001E-4</v>
      </c>
      <c r="F4" s="16">
        <f ca="1"/>
        <v>3.1296749999999998E-2</v>
      </c>
      <c r="G4" s="5">
        <f ca="1"/>
        <v>8.1372000000000006E-5</v>
      </c>
      <c r="I4" s="9">
        <f t="shared" ca="1" si="0"/>
        <v>3.1378122000000001E-2</v>
      </c>
    </row>
    <row r="5" spans="1:11" x14ac:dyDescent="0.25">
      <c r="A5" s="15" t="str">
        <f ca="1"/>
        <v>KAVAXBT</v>
      </c>
      <c r="B5" s="3" t="str">
        <f ca="1"/>
        <v>17/08/2020 01:25:52</v>
      </c>
      <c r="C5" s="7" t="str">
        <f ca="1"/>
        <v>sell</v>
      </c>
      <c r="D5" s="16">
        <f ca="1"/>
        <v>50</v>
      </c>
      <c r="E5" s="16">
        <f ca="1"/>
        <v>4.0423800000000001E-4</v>
      </c>
      <c r="F5" s="16">
        <f ca="1"/>
        <v>2.0211894000000001E-2</v>
      </c>
      <c r="G5" s="5">
        <f ca="1"/>
        <v>5.2550999999999999E-5</v>
      </c>
      <c r="I5" s="9">
        <f t="shared" ca="1" si="0"/>
        <v>2.0264445000000002E-2</v>
      </c>
    </row>
    <row r="6" spans="1:11" x14ac:dyDescent="0.25">
      <c r="A6" s="15" t="str">
        <f ca="1"/>
        <v>KAVAXBT</v>
      </c>
      <c r="B6" s="3" t="str">
        <f ca="1"/>
        <v>17/08/2020 08:45:02</v>
      </c>
      <c r="C6" s="7" t="str">
        <f ca="1"/>
        <v>buy</v>
      </c>
      <c r="D6" s="16">
        <f ca="1"/>
        <v>50</v>
      </c>
      <c r="E6" s="16">
        <f ca="1"/>
        <v>4.6500000000000003E-4</v>
      </c>
      <c r="F6" s="16">
        <f ca="1"/>
        <v>2.325E-2</v>
      </c>
      <c r="G6" s="5">
        <f ca="1"/>
        <v>6.0449999999999999E-5</v>
      </c>
      <c r="I6" s="9">
        <f t="shared" ca="1" si="0"/>
        <v>2.331045E-2</v>
      </c>
    </row>
    <row r="7" spans="1:11" x14ac:dyDescent="0.25">
      <c r="A7" s="15" t="str">
        <f ca="1"/>
        <v>TRXXBT</v>
      </c>
      <c r="B7" s="3" t="str">
        <f ca="1"/>
        <v>17/08/2020 08:28:55</v>
      </c>
      <c r="C7" s="7" t="str">
        <f ca="1"/>
        <v>buy</v>
      </c>
      <c r="D7" s="16">
        <f ca="1"/>
        <v>5000</v>
      </c>
      <c r="E7" s="16">
        <f ca="1"/>
        <v>2.5102999999999999E-6</v>
      </c>
      <c r="F7" s="16">
        <f ca="1"/>
        <v>1.25515E-2</v>
      </c>
      <c r="G7" s="5">
        <f ca="1"/>
        <v>3.2633899999999999E-5</v>
      </c>
      <c r="I7" s="9">
        <f t="shared" ca="1" si="0"/>
        <v>1.2584133900000001E-2</v>
      </c>
    </row>
    <row r="8" spans="1:11" x14ac:dyDescent="0.25">
      <c r="A8" s="15" t="str">
        <f ca="1"/>
        <v>XETCXXBT</v>
      </c>
      <c r="B8" s="3" t="str">
        <f ca="1"/>
        <v>17/08/2020 08:11:24</v>
      </c>
      <c r="C8" s="7" t="str">
        <f ca="1"/>
        <v>buy</v>
      </c>
      <c r="D8" s="16">
        <f ca="1"/>
        <v>40.286116149999998</v>
      </c>
      <c r="E8" s="16">
        <f ca="1"/>
        <v>6.2799999999999998E-4</v>
      </c>
      <c r="F8" s="16">
        <f ca="1"/>
        <v>2.5299680000000001E-2</v>
      </c>
      <c r="G8" s="5">
        <f ca="1"/>
        <v>4.0479999999999999E-5</v>
      </c>
      <c r="I8" s="9">
        <f t="shared" ca="1" si="0"/>
        <v>2.534016E-2</v>
      </c>
    </row>
    <row r="9" spans="1:11" x14ac:dyDescent="0.25">
      <c r="A9" s="15" t="str">
        <f ca="1"/>
        <v>XETCXXBT</v>
      </c>
      <c r="B9" s="3" t="str">
        <f ca="1"/>
        <v>17/08/2020 08:11:24</v>
      </c>
      <c r="C9" s="7" t="str">
        <f ca="1"/>
        <v>buy</v>
      </c>
      <c r="D9" s="16">
        <f ca="1"/>
        <v>4.4000000000000002E-7</v>
      </c>
      <c r="E9" s="16">
        <f ca="1"/>
        <v>6.2799999999999998E-4</v>
      </c>
      <c r="F9" s="16">
        <f ca="1"/>
        <v>0</v>
      </c>
      <c r="G9" s="5">
        <f ca="1"/>
        <v>0</v>
      </c>
      <c r="I9" s="9">
        <f t="shared" ca="1" si="0"/>
        <v>0</v>
      </c>
    </row>
    <row r="10" spans="1:11" x14ac:dyDescent="0.25">
      <c r="A10" s="15" t="str">
        <f ca="1"/>
        <v>XETCXXBT</v>
      </c>
      <c r="B10" s="3" t="str">
        <f ca="1"/>
        <v>17/08/2020 08:11:24</v>
      </c>
      <c r="C10" s="7" t="str">
        <f ca="1"/>
        <v>buy</v>
      </c>
      <c r="D10" s="16">
        <f ca="1"/>
        <v>2.3743000000000001E-4</v>
      </c>
      <c r="E10" s="16">
        <f ca="1"/>
        <v>6.2799999999999998E-4</v>
      </c>
      <c r="F10" s="16">
        <f ca="1"/>
        <v>1.4999999999999999E-7</v>
      </c>
      <c r="G10" s="5">
        <f ca="1"/>
        <v>0</v>
      </c>
      <c r="I10" s="9">
        <f t="shared" ca="1" si="0"/>
        <v>1.4999999999999999E-7</v>
      </c>
    </row>
    <row r="11" spans="1:11" x14ac:dyDescent="0.25">
      <c r="A11" s="15" t="str">
        <f ca="1"/>
        <v>XETCXXBT</v>
      </c>
      <c r="B11" s="3" t="str">
        <f ca="1"/>
        <v>17/08/2020 08:11:24</v>
      </c>
      <c r="C11" s="7" t="str">
        <f ca="1"/>
        <v>buy</v>
      </c>
      <c r="D11" s="16">
        <f ca="1"/>
        <v>0.11895148999999999</v>
      </c>
      <c r="E11" s="16">
        <f ca="1"/>
        <v>6.2799999999999998E-4</v>
      </c>
      <c r="F11" s="16">
        <f ca="1"/>
        <v>7.47E-5</v>
      </c>
      <c r="G11" s="5">
        <f ca="1"/>
        <v>1.1999999999999999E-7</v>
      </c>
      <c r="I11" s="9">
        <f t="shared" ca="1" si="0"/>
        <v>7.4820000000000005E-5</v>
      </c>
      <c r="J11" s="16"/>
    </row>
    <row r="12" spans="1:11" x14ac:dyDescent="0.25">
      <c r="A12" s="15" t="str">
        <f ca="1"/>
        <v>XETCXXBT</v>
      </c>
      <c r="B12" s="3" t="str">
        <f ca="1"/>
        <v>17/08/2020 08:11:24</v>
      </c>
      <c r="C12" s="7" t="str">
        <f ca="1"/>
        <v>buy</v>
      </c>
      <c r="D12" s="16">
        <f ca="1"/>
        <v>59.594694490000002</v>
      </c>
      <c r="E12" s="16">
        <f ca="1"/>
        <v>6.2799999999999998E-4</v>
      </c>
      <c r="F12" s="16">
        <f ca="1"/>
        <v>3.7425470000000002E-2</v>
      </c>
      <c r="G12" s="5">
        <f ca="1"/>
        <v>5.9880000000000003E-5</v>
      </c>
      <c r="I12" s="9">
        <f t="shared" ca="1" si="0"/>
        <v>3.7485350000000001E-2</v>
      </c>
      <c r="J12" s="16"/>
    </row>
    <row r="13" spans="1:11" x14ac:dyDescent="0.25">
      <c r="A13" s="15" t="str">
        <f ca="1"/>
        <v>XETCXXBT</v>
      </c>
      <c r="B13" s="3" t="str">
        <f ca="1"/>
        <v>17/08/2020 08:11:04</v>
      </c>
      <c r="C13" s="7" t="str">
        <f ca="1"/>
        <v>buy</v>
      </c>
      <c r="D13" s="16">
        <f ca="1"/>
        <v>17.207356690000001</v>
      </c>
      <c r="E13" s="16">
        <f ca="1"/>
        <v>6.2699999999999995E-4</v>
      </c>
      <c r="F13" s="16">
        <f ca="1"/>
        <v>1.078901E-2</v>
      </c>
      <c r="G13" s="5">
        <f ca="1"/>
        <v>1.7260000000000001E-5</v>
      </c>
      <c r="I13" s="9">
        <f t="shared" ca="1" si="0"/>
        <v>1.080627E-2</v>
      </c>
      <c r="J13" s="16"/>
    </row>
    <row r="14" spans="1:11" x14ac:dyDescent="0.25">
      <c r="A14" s="15" t="str">
        <f ca="1"/>
        <v>XETCXXBT</v>
      </c>
      <c r="B14" s="3" t="str">
        <f ca="1"/>
        <v>17/08/2020 08:10:54</v>
      </c>
      <c r="C14" s="7" t="str">
        <f ca="1"/>
        <v>buy</v>
      </c>
      <c r="D14" s="16">
        <f ca="1"/>
        <v>82.792643310000003</v>
      </c>
      <c r="E14" s="16">
        <f ca="1"/>
        <v>6.2699999999999995E-4</v>
      </c>
      <c r="F14" s="16">
        <f ca="1"/>
        <v>5.1910989999999997E-2</v>
      </c>
      <c r="G14" s="5">
        <f ca="1"/>
        <v>8.3059999999999994E-5</v>
      </c>
      <c r="I14" s="9">
        <f t="shared" ca="1" si="0"/>
        <v>5.199405E-2</v>
      </c>
    </row>
    <row r="15" spans="1:11" x14ac:dyDescent="0.25">
      <c r="A15" s="15" t="str">
        <f ca="1"/>
        <v>TRXXBT</v>
      </c>
      <c r="B15" s="3" t="str">
        <f ca="1"/>
        <v>17/08/2020 08:03:05</v>
      </c>
      <c r="C15" s="7" t="str">
        <f ca="1"/>
        <v>buy</v>
      </c>
      <c r="D15" s="16">
        <f ca="1"/>
        <v>10000</v>
      </c>
      <c r="E15" s="16">
        <f ca="1"/>
        <v>2.4754000000000001E-6</v>
      </c>
      <c r="F15" s="16">
        <f ca="1"/>
        <v>2.4754000000000002E-2</v>
      </c>
      <c r="G15" s="5">
        <f ca="1"/>
        <v>6.4360400000000001E-5</v>
      </c>
      <c r="I15" s="9">
        <f t="shared" ca="1" si="0"/>
        <v>2.4818360400000003E-2</v>
      </c>
    </row>
    <row r="16" spans="1:11" x14ac:dyDescent="0.25">
      <c r="A16" s="15" t="str">
        <f ca="1"/>
        <v>DASHXBT</v>
      </c>
      <c r="B16" s="3" t="str">
        <f ca="1"/>
        <v>15/08/2020 04:51:01</v>
      </c>
      <c r="C16" s="7" t="str">
        <f ca="1"/>
        <v>sell</v>
      </c>
      <c r="D16" s="16">
        <f ca="1"/>
        <v>2.9999999599999998</v>
      </c>
      <c r="E16" s="16">
        <f ca="1"/>
        <v>8.0099999999999998E-3</v>
      </c>
      <c r="F16" s="16">
        <f ca="1"/>
        <v>2.4029990000000001E-2</v>
      </c>
      <c r="G16" s="5">
        <f ca="1"/>
        <v>6.2479999999999998E-5</v>
      </c>
      <c r="I16" s="9">
        <f t="shared" ca="1" si="0"/>
        <v>2.4092470000000001E-2</v>
      </c>
    </row>
    <row r="17" spans="1:9" x14ac:dyDescent="0.25">
      <c r="A17" s="15" t="str">
        <f ca="1"/>
        <v>XETCXXBT</v>
      </c>
      <c r="B17" s="3" t="str">
        <f ca="1"/>
        <v>15/08/2020 03:42:46</v>
      </c>
      <c r="C17" s="7" t="str">
        <f ca="1"/>
        <v>sell</v>
      </c>
      <c r="D17" s="16">
        <f ca="1"/>
        <v>1.8E-7</v>
      </c>
      <c r="E17" s="16">
        <f ca="1"/>
        <v>6.0999999999999997E-4</v>
      </c>
      <c r="F17" s="16">
        <f ca="1"/>
        <v>0</v>
      </c>
      <c r="G17" s="5">
        <f ca="1"/>
        <v>0</v>
      </c>
      <c r="I17" s="9">
        <f t="shared" ca="1" si="0"/>
        <v>0</v>
      </c>
    </row>
    <row r="18" spans="1:9" x14ac:dyDescent="0.25">
      <c r="A18" s="15" t="str">
        <f ca="1"/>
        <v>XETCXXBT</v>
      </c>
      <c r="B18" s="3" t="str">
        <f ca="1"/>
        <v>15/08/2020 03:42:46</v>
      </c>
      <c r="C18" s="7" t="str">
        <f ca="1"/>
        <v>sell</v>
      </c>
      <c r="D18" s="16">
        <f ca="1"/>
        <v>1.11E-4</v>
      </c>
      <c r="E18" s="16">
        <f ca="1"/>
        <v>6.0999999999999997E-4</v>
      </c>
      <c r="F18" s="16">
        <f ca="1"/>
        <v>7.0000000000000005E-8</v>
      </c>
      <c r="G18" s="5">
        <f ca="1"/>
        <v>0</v>
      </c>
      <c r="I18" s="9">
        <f t="shared" ca="1" si="0"/>
        <v>7.0000000000000005E-8</v>
      </c>
    </row>
    <row r="19" spans="1:9" x14ac:dyDescent="0.25">
      <c r="A19" s="15" t="str">
        <f ca="1"/>
        <v>XETCXXBT</v>
      </c>
      <c r="B19" s="3" t="str">
        <f ca="1"/>
        <v>15/08/2020 03:42:46</v>
      </c>
      <c r="C19" s="7" t="str">
        <f ca="1"/>
        <v>sell</v>
      </c>
      <c r="D19" s="16">
        <f ca="1"/>
        <v>6.9489800000000004E-2</v>
      </c>
      <c r="E19" s="16">
        <f ca="1"/>
        <v>6.0999999999999997E-4</v>
      </c>
      <c r="F19" s="16">
        <f ca="1"/>
        <v>4.2389999999999999E-5</v>
      </c>
      <c r="G19" s="5">
        <f ca="1"/>
        <v>7.0000000000000005E-8</v>
      </c>
      <c r="I19" s="9">
        <f t="shared" ca="1" si="0"/>
        <v>4.2459999999999997E-5</v>
      </c>
    </row>
    <row r="20" spans="1:9" x14ac:dyDescent="0.25">
      <c r="A20" s="15" t="str">
        <f ca="1"/>
        <v>XETCXXBT</v>
      </c>
      <c r="B20" s="3" t="str">
        <f ca="1"/>
        <v>15/08/2020 03:42:46</v>
      </c>
      <c r="C20" s="7" t="str">
        <f ca="1"/>
        <v>sell</v>
      </c>
      <c r="D20" s="16">
        <f ca="1"/>
        <v>43.500612369999999</v>
      </c>
      <c r="E20" s="16">
        <f ca="1"/>
        <v>6.0999999999999997E-4</v>
      </c>
      <c r="F20" s="16">
        <f ca="1"/>
        <v>2.6535369999999999E-2</v>
      </c>
      <c r="G20" s="5">
        <f ca="1"/>
        <v>4.2459999999999997E-5</v>
      </c>
      <c r="I20" s="9">
        <f t="shared" ca="1" si="0"/>
        <v>2.657783E-2</v>
      </c>
    </row>
    <row r="21" spans="1:9" x14ac:dyDescent="0.25">
      <c r="A21" s="15" t="str">
        <f ca="1"/>
        <v>XETCXXBT</v>
      </c>
      <c r="B21" s="3" t="str">
        <f ca="1"/>
        <v>15/08/2020 03:34:17</v>
      </c>
      <c r="C21" s="7" t="str">
        <f ca="1"/>
        <v>sell</v>
      </c>
      <c r="D21" s="16">
        <f ca="1"/>
        <v>11.42978665</v>
      </c>
      <c r="E21" s="16">
        <f ca="1"/>
        <v>6.0999999999999997E-4</v>
      </c>
      <c r="F21" s="16">
        <f ca="1"/>
        <v>6.9721699999999998E-3</v>
      </c>
      <c r="G21" s="5">
        <f ca="1"/>
        <v>1.116E-5</v>
      </c>
      <c r="I21" s="9">
        <f t="shared" ca="1" si="0"/>
        <v>6.9833299999999994E-3</v>
      </c>
    </row>
    <row r="22" spans="1:9" x14ac:dyDescent="0.25">
      <c r="A22" s="15" t="str">
        <f ca="1"/>
        <v>XTZXBT</v>
      </c>
      <c r="B22" s="3" t="str">
        <f ca="1"/>
        <v>15/08/2020 02:02:08</v>
      </c>
      <c r="C22" s="7" t="str">
        <f ca="1"/>
        <v>sell</v>
      </c>
      <c r="D22" s="16">
        <f ca="1"/>
        <v>100</v>
      </c>
      <c r="E22" s="16">
        <f ca="1"/>
        <v>3.615E-4</v>
      </c>
      <c r="F22" s="16">
        <f ca="1"/>
        <v>3.6150010000000003E-2</v>
      </c>
      <c r="G22" s="5">
        <f ca="1"/>
        <v>9.399E-5</v>
      </c>
      <c r="I22" s="9">
        <f t="shared" ca="1" si="0"/>
        <v>3.6244000000000005E-2</v>
      </c>
    </row>
    <row r="23" spans="1:9" x14ac:dyDescent="0.25">
      <c r="A23" s="15" t="str">
        <f ca="1"/>
        <v>XTZXBT</v>
      </c>
      <c r="B23" s="3" t="str">
        <f ca="1"/>
        <v>15/08/2020 02:23:09</v>
      </c>
      <c r="C23" s="7" t="str">
        <f ca="1"/>
        <v>buy</v>
      </c>
      <c r="D23" s="16">
        <f ca="1"/>
        <v>100</v>
      </c>
      <c r="E23" s="16">
        <f ca="1"/>
        <v>3.3199999999999999E-4</v>
      </c>
      <c r="F23" s="16">
        <f ca="1"/>
        <v>3.32E-2</v>
      </c>
      <c r="G23" s="5">
        <f ca="1"/>
        <v>5.312E-5</v>
      </c>
      <c r="I23" s="9">
        <f t="shared" ca="1" si="0"/>
        <v>3.3253119999999997E-2</v>
      </c>
    </row>
    <row r="24" spans="1:9" x14ac:dyDescent="0.25">
      <c r="A24" s="15" t="str">
        <f ca="1"/>
        <v>XXRPXXBT</v>
      </c>
      <c r="B24" s="3" t="str">
        <f ca="1"/>
        <v>14/08/2020 01:07:29</v>
      </c>
      <c r="C24" s="7" t="str">
        <f ca="1"/>
        <v>sell</v>
      </c>
      <c r="D24" s="16">
        <f ca="1"/>
        <v>2000.00000009</v>
      </c>
      <c r="E24" s="16">
        <f ca="1"/>
        <v>2.5530000000000001E-5</v>
      </c>
      <c r="F24" s="16">
        <f ca="1"/>
        <v>5.1059999000000002E-2</v>
      </c>
      <c r="G24" s="5">
        <f ca="1"/>
        <v>1.3275599999999999E-4</v>
      </c>
      <c r="I24" s="9">
        <f t="shared" ca="1" si="0"/>
        <v>5.1192755E-2</v>
      </c>
    </row>
    <row r="25" spans="1:9" x14ac:dyDescent="0.25">
      <c r="A25" s="15" t="str">
        <f ca="1"/>
        <v>XXRPXXBT</v>
      </c>
      <c r="B25" s="3" t="str">
        <f ca="1"/>
        <v>14/08/2020 12:46:34</v>
      </c>
      <c r="C25" s="7" t="str">
        <f ca="1"/>
        <v>buy</v>
      </c>
      <c r="D25" s="16">
        <f ca="1"/>
        <v>237.08203411</v>
      </c>
      <c r="E25" s="16">
        <f ca="1"/>
        <v>2.5749999999999999E-5</v>
      </c>
      <c r="F25" s="16">
        <f ca="1"/>
        <v>6.104862E-3</v>
      </c>
      <c r="G25" s="5">
        <f ca="1"/>
        <v>9.7680000000000003E-6</v>
      </c>
      <c r="I25" s="9">
        <f t="shared" ca="1" si="0"/>
        <v>6.1146300000000002E-3</v>
      </c>
    </row>
    <row r="26" spans="1:9" x14ac:dyDescent="0.25">
      <c r="A26" s="15" t="str">
        <f ca="1"/>
        <v>XXRPXXBT</v>
      </c>
      <c r="B26" s="3" t="str">
        <f ca="1"/>
        <v>14/08/2020 12:45:59</v>
      </c>
      <c r="C26" s="7" t="str">
        <f ca="1"/>
        <v>buy</v>
      </c>
      <c r="D26" s="16">
        <f ca="1"/>
        <v>862.91796589</v>
      </c>
      <c r="E26" s="16">
        <f ca="1"/>
        <v>2.5749999999999999E-5</v>
      </c>
      <c r="F26" s="16">
        <f ca="1"/>
        <v>2.2220138E-2</v>
      </c>
      <c r="G26" s="5">
        <f ca="1"/>
        <v>3.5552000000000001E-5</v>
      </c>
      <c r="I26" s="9">
        <f t="shared" ca="1" si="0"/>
        <v>2.2255690000000002E-2</v>
      </c>
    </row>
    <row r="27" spans="1:9" x14ac:dyDescent="0.25">
      <c r="A27" s="15" t="str">
        <f ca="1"/>
        <v>XETCXXBT</v>
      </c>
      <c r="B27" s="3" t="str">
        <f ca="1"/>
        <v>14/08/2020 10:03:07</v>
      </c>
      <c r="C27" s="7" t="str">
        <f ca="1"/>
        <v>buy</v>
      </c>
      <c r="D27" s="16">
        <f ca="1"/>
        <v>5</v>
      </c>
      <c r="E27" s="16">
        <f ca="1"/>
        <v>5.8900000000000001E-4</v>
      </c>
      <c r="F27" s="16">
        <f ca="1"/>
        <v>2.9450000000000001E-3</v>
      </c>
      <c r="G27" s="5">
        <f ca="1"/>
        <v>7.6599999999999995E-6</v>
      </c>
      <c r="I27" s="9">
        <f t="shared" ca="1" si="0"/>
        <v>2.9526600000000002E-3</v>
      </c>
    </row>
    <row r="28" spans="1:9" x14ac:dyDescent="0.25">
      <c r="A28" s="15" t="str">
        <f ca="1"/>
        <v>XXRPXXBT</v>
      </c>
      <c r="B28" s="3" t="str">
        <f ca="1"/>
        <v>14/08/2020 09:32:12</v>
      </c>
      <c r="C28" s="7" t="str">
        <f ca="1"/>
        <v>sell</v>
      </c>
      <c r="D28" s="16">
        <f ca="1"/>
        <v>100</v>
      </c>
      <c r="E28" s="16">
        <f ca="1"/>
        <v>2.5089999999999999E-5</v>
      </c>
      <c r="F28" s="16">
        <f ca="1"/>
        <v>2.5089999999999999E-3</v>
      </c>
      <c r="G28" s="5">
        <f ca="1"/>
        <v>6.5230000000000001E-6</v>
      </c>
      <c r="I28" s="9">
        <f t="shared" ca="1" si="0"/>
        <v>2.515523E-3</v>
      </c>
    </row>
    <row r="29" spans="1:9" x14ac:dyDescent="0.25">
      <c r="A29" s="15" t="str">
        <f ca="1"/>
        <v>XETHXXBT</v>
      </c>
      <c r="B29" s="3" t="str">
        <f ca="1"/>
        <v>14/08/2020 03:08:24</v>
      </c>
      <c r="C29" s="7" t="str">
        <f ca="1"/>
        <v>sell</v>
      </c>
      <c r="D29" s="16">
        <f ca="1"/>
        <v>0.54017187</v>
      </c>
      <c r="E29" s="16">
        <f ca="1"/>
        <v>3.5909000000000003E-2</v>
      </c>
      <c r="F29" s="16">
        <f ca="1"/>
        <v>1.9397000000000001E-2</v>
      </c>
      <c r="G29" s="5">
        <f ca="1"/>
        <v>5.0000000000000002E-5</v>
      </c>
      <c r="I29" s="9">
        <f t="shared" ca="1" si="0"/>
        <v>1.9447000000000002E-2</v>
      </c>
    </row>
    <row r="30" spans="1:9" x14ac:dyDescent="0.25">
      <c r="A30" s="15" t="str">
        <f ca="1"/>
        <v>XTZETH</v>
      </c>
      <c r="B30" s="3" t="str">
        <f ca="1"/>
        <v>13/08/2020 05:54:29</v>
      </c>
      <c r="C30" s="7" t="str">
        <f ca="1"/>
        <v>sell</v>
      </c>
      <c r="D30" s="16">
        <f ca="1"/>
        <v>50</v>
      </c>
      <c r="E30" s="16">
        <f ca="1"/>
        <v>1.08316E-2</v>
      </c>
      <c r="F30" s="16">
        <f ca="1"/>
        <v>0.54157999000000001</v>
      </c>
      <c r="G30" s="5">
        <f ca="1"/>
        <v>1.40811E-3</v>
      </c>
      <c r="I30" s="9">
        <f t="shared" ca="1" si="0"/>
        <v>0.54298809999999997</v>
      </c>
    </row>
    <row r="31" spans="1:9" x14ac:dyDescent="0.25">
      <c r="A31" s="15" t="str">
        <f ca="1"/>
        <v>EOSXBT</v>
      </c>
      <c r="B31" s="3" t="str">
        <f ca="1"/>
        <v>13/08/2020 04:54:52</v>
      </c>
      <c r="C31" s="7" t="str">
        <f ca="1"/>
        <v>sell</v>
      </c>
      <c r="D31" s="16">
        <f ca="1"/>
        <v>100</v>
      </c>
      <c r="E31" s="16">
        <f ca="1"/>
        <v>2.633E-4</v>
      </c>
      <c r="F31" s="16">
        <f ca="1"/>
        <v>2.6329999999999999E-2</v>
      </c>
      <c r="G31" s="5">
        <f ca="1"/>
        <v>6.8460000000000005E-5</v>
      </c>
      <c r="I31" s="9">
        <f t="shared" ca="1" si="0"/>
        <v>2.6398459999999999E-2</v>
      </c>
    </row>
    <row r="32" spans="1:9" x14ac:dyDescent="0.25">
      <c r="A32" s="15" t="str">
        <f ca="1"/>
        <v>XLTCXXBT</v>
      </c>
      <c r="B32" s="3" t="str">
        <f ca="1"/>
        <v>13/08/2020 04:52:19</v>
      </c>
      <c r="C32" s="7" t="str">
        <f ca="1"/>
        <v>sell</v>
      </c>
      <c r="D32" s="16">
        <f ca="1"/>
        <v>4.9999999199999996</v>
      </c>
      <c r="E32" s="16">
        <f ca="1"/>
        <v>4.7101499999999998E-3</v>
      </c>
      <c r="F32" s="16">
        <f ca="1"/>
        <v>2.3550740000000001E-2</v>
      </c>
      <c r="G32" s="5">
        <f ca="1"/>
        <v>6.1240000000000003E-5</v>
      </c>
      <c r="I32" s="9">
        <f t="shared" ca="1" si="0"/>
        <v>2.3611980000000001E-2</v>
      </c>
    </row>
    <row r="33" spans="1:9" x14ac:dyDescent="0.25">
      <c r="A33" s="15" t="str">
        <f ca="1"/>
        <v>LINKXBT</v>
      </c>
      <c r="B33" s="3" t="str">
        <f ca="1"/>
        <v>13/08/2020 04:48:50</v>
      </c>
      <c r="C33" s="7" t="str">
        <f ca="1"/>
        <v>sell</v>
      </c>
      <c r="D33" s="16">
        <f ca="1"/>
        <v>1.99999997</v>
      </c>
      <c r="E33" s="16">
        <f ca="1"/>
        <v>1.5141600000000001E-3</v>
      </c>
      <c r="F33" s="16">
        <f ca="1"/>
        <v>3.0283200000000001E-3</v>
      </c>
      <c r="G33" s="5">
        <f ca="1"/>
        <v>7.8730000000000007E-6</v>
      </c>
      <c r="I33" s="9">
        <f t="shared" ca="1" si="0"/>
        <v>3.036193E-3</v>
      </c>
    </row>
    <row r="34" spans="1:9" x14ac:dyDescent="0.25">
      <c r="A34" s="15" t="str">
        <f ca="1"/>
        <v>XTZXBT</v>
      </c>
      <c r="B34" s="3" t="str">
        <f ca="1"/>
        <v>13/08/2020 04:39:34</v>
      </c>
      <c r="C34" s="7" t="str">
        <f ca="1"/>
        <v>buy</v>
      </c>
      <c r="D34" s="16">
        <f ca="1"/>
        <v>50</v>
      </c>
      <c r="E34" s="16">
        <f ca="1"/>
        <v>3.7439999999999999E-4</v>
      </c>
      <c r="F34" s="16">
        <f ca="1"/>
        <v>1.8720000000000001E-2</v>
      </c>
      <c r="G34" s="5">
        <f ca="1"/>
        <v>2.995E-5</v>
      </c>
      <c r="I34" s="9">
        <f t="shared" ca="1" si="0"/>
        <v>1.8749950000000001E-2</v>
      </c>
    </row>
    <row r="35" spans="1:9" x14ac:dyDescent="0.25">
      <c r="A35" s="15" t="str">
        <f ca="1"/>
        <v>DASHXBT</v>
      </c>
      <c r="B35" s="3" t="str">
        <f ca="1"/>
        <v>13/08/2020 04:25:37</v>
      </c>
      <c r="C35" s="7" t="str">
        <f ca="1"/>
        <v>buy</v>
      </c>
      <c r="D35" s="16">
        <f ca="1"/>
        <v>3</v>
      </c>
      <c r="E35" s="16">
        <f ca="1"/>
        <v>7.6800000000000002E-3</v>
      </c>
      <c r="F35" s="16">
        <f ca="1"/>
        <v>2.3040000000000001E-2</v>
      </c>
      <c r="G35" s="5">
        <f ca="1"/>
        <v>5.9899999999999999E-5</v>
      </c>
      <c r="I35" s="9">
        <f t="shared" ca="1" si="0"/>
        <v>2.3099900000000003E-2</v>
      </c>
    </row>
    <row r="36" spans="1:9" x14ac:dyDescent="0.25">
      <c r="A36" s="15" t="str">
        <f ca="1"/>
        <v>ATOMXBT</v>
      </c>
      <c r="B36" s="3" t="str">
        <f ca="1"/>
        <v>13/08/2020 04:07:23</v>
      </c>
      <c r="C36" s="7" t="str">
        <f ca="1"/>
        <v>sell</v>
      </c>
      <c r="D36" s="16">
        <f ca="1"/>
        <v>31.5</v>
      </c>
      <c r="E36" s="16">
        <f ca="1"/>
        <v>5.4169999999999999E-4</v>
      </c>
      <c r="F36" s="16">
        <f ca="1"/>
        <v>1.706355E-2</v>
      </c>
      <c r="G36" s="5">
        <f ca="1"/>
        <v>4.4360000000000002E-5</v>
      </c>
      <c r="I36" s="9">
        <f t="shared" ca="1" si="0"/>
        <v>1.710791E-2</v>
      </c>
    </row>
    <row r="37" spans="1:9" x14ac:dyDescent="0.25">
      <c r="A37" s="15" t="str">
        <f ca="1"/>
        <v>ATOMXBT</v>
      </c>
      <c r="B37" s="3" t="str">
        <f ca="1"/>
        <v>13/08/2020 03:57:37</v>
      </c>
      <c r="C37" s="7" t="str">
        <f ca="1"/>
        <v>buy</v>
      </c>
      <c r="D37" s="16">
        <f ca="1"/>
        <v>20</v>
      </c>
      <c r="E37" s="16">
        <f ca="1"/>
        <v>5.5239999999999998E-4</v>
      </c>
      <c r="F37" s="16">
        <f ca="1"/>
        <v>1.1048000000000001E-2</v>
      </c>
      <c r="G37" s="5">
        <f ca="1"/>
        <v>2.8719999999999999E-5</v>
      </c>
      <c r="I37" s="9">
        <f t="shared" ca="1" si="0"/>
        <v>1.107672E-2</v>
      </c>
    </row>
    <row r="38" spans="1:9" x14ac:dyDescent="0.25">
      <c r="A38" s="15" t="str">
        <f ca="1"/>
        <v>ATOMXBT</v>
      </c>
      <c r="B38" s="3" t="str">
        <f ca="1"/>
        <v>13/08/2020 08:40:19</v>
      </c>
      <c r="C38" s="7" t="str">
        <f ca="1"/>
        <v>buy</v>
      </c>
      <c r="D38" s="16">
        <f ca="1"/>
        <v>1.5</v>
      </c>
      <c r="E38" s="16">
        <f ca="1"/>
        <v>4.8999999999999998E-4</v>
      </c>
      <c r="F38" s="16">
        <f ca="1"/>
        <v>7.3499999999999998E-4</v>
      </c>
      <c r="G38" s="5">
        <f ca="1"/>
        <v>1.1799999999999999E-6</v>
      </c>
      <c r="I38" s="9">
        <f t="shared" ca="1" si="0"/>
        <v>7.3618000000000002E-4</v>
      </c>
    </row>
    <row r="39" spans="1:9" x14ac:dyDescent="0.25">
      <c r="A39" s="15" t="str">
        <f ca="1"/>
        <v>LINKXBT</v>
      </c>
      <c r="B39" s="3" t="str">
        <f ca="1"/>
        <v>13/08/2020 06:38:56</v>
      </c>
      <c r="C39" s="7" t="str">
        <f ca="1"/>
        <v>buy</v>
      </c>
      <c r="D39" s="16">
        <f ca="1"/>
        <v>2</v>
      </c>
      <c r="E39" s="16">
        <f ca="1"/>
        <v>1.5E-3</v>
      </c>
      <c r="F39" s="16">
        <f ca="1"/>
        <v>3.0000000000000001E-3</v>
      </c>
      <c r="G39" s="5">
        <f ca="1"/>
        <v>4.7999999999999998E-6</v>
      </c>
      <c r="I39" s="9">
        <f t="shared" ca="1" si="0"/>
        <v>3.0048000000000002E-3</v>
      </c>
    </row>
    <row r="40" spans="1:9" x14ac:dyDescent="0.25">
      <c r="A40" s="15" t="str">
        <f ca="1"/>
        <v>ATOMXBT</v>
      </c>
      <c r="B40" s="3" t="str">
        <f ca="1"/>
        <v>13/08/2020 06:38:52</v>
      </c>
      <c r="C40" s="7" t="str">
        <f ca="1"/>
        <v>buy</v>
      </c>
      <c r="D40" s="16">
        <f ca="1"/>
        <v>10</v>
      </c>
      <c r="E40" s="16">
        <f ca="1"/>
        <v>5.128E-4</v>
      </c>
      <c r="F40" s="16">
        <f ca="1"/>
        <v>5.1279999999999997E-3</v>
      </c>
      <c r="G40" s="5">
        <f ca="1"/>
        <v>8.1999999999999994E-6</v>
      </c>
      <c r="I40" s="9">
        <f t="shared" ca="1" si="0"/>
        <v>5.1361999999999996E-3</v>
      </c>
    </row>
    <row r="41" spans="1:9" x14ac:dyDescent="0.25">
      <c r="A41" s="15" t="str">
        <f ca="1"/>
        <v>XETCXXBT</v>
      </c>
      <c r="B41" s="3" t="str">
        <f ca="1"/>
        <v>12/08/2020 08:39:25</v>
      </c>
      <c r="C41" s="7" t="str">
        <f ca="1"/>
        <v>buy</v>
      </c>
      <c r="D41" s="16">
        <f ca="1"/>
        <v>10.309098479999999</v>
      </c>
      <c r="E41" s="16">
        <f ca="1"/>
        <v>5.8699999999999996E-4</v>
      </c>
      <c r="F41" s="16">
        <f ca="1"/>
        <v>6.0514399999999999E-3</v>
      </c>
      <c r="G41" s="5">
        <f ca="1"/>
        <v>9.6800000000000005E-6</v>
      </c>
      <c r="I41" s="9">
        <f t="shared" ca="1" si="0"/>
        <v>6.0611199999999997E-3</v>
      </c>
    </row>
    <row r="42" spans="1:9" x14ac:dyDescent="0.25">
      <c r="A42" s="15" t="str">
        <f ca="1"/>
        <v>XETCXXBT</v>
      </c>
      <c r="B42" s="3" t="str">
        <f ca="1"/>
        <v>12/08/2020 08:38:29</v>
      </c>
      <c r="C42" s="7" t="str">
        <f ca="1"/>
        <v>buy</v>
      </c>
      <c r="D42" s="16">
        <f ca="1"/>
        <v>39.690901519999997</v>
      </c>
      <c r="E42" s="16">
        <f ca="1"/>
        <v>5.8699999999999996E-4</v>
      </c>
      <c r="F42" s="16">
        <f ca="1"/>
        <v>2.3298559999999999E-2</v>
      </c>
      <c r="G42" s="5">
        <f ca="1"/>
        <v>3.7280000000000002E-5</v>
      </c>
      <c r="I42" s="9">
        <f t="shared" ca="1" si="0"/>
        <v>2.333584E-2</v>
      </c>
    </row>
    <row r="43" spans="1:9" x14ac:dyDescent="0.25">
      <c r="A43" s="15" t="str">
        <f ca="1"/>
        <v>XLTCXXBT</v>
      </c>
      <c r="B43" s="3" t="str">
        <f ca="1"/>
        <v>12/08/2020 06:03:12</v>
      </c>
      <c r="C43" s="7" t="str">
        <f ca="1"/>
        <v>buy</v>
      </c>
      <c r="D43" s="16">
        <f ca="1"/>
        <v>5</v>
      </c>
      <c r="E43" s="16">
        <f ca="1"/>
        <v>4.6499999999999996E-3</v>
      </c>
      <c r="F43" s="16">
        <f ca="1"/>
        <v>2.325E-2</v>
      </c>
      <c r="G43" s="5">
        <f ca="1"/>
        <v>3.7200000000000003E-5</v>
      </c>
      <c r="I43" s="9">
        <f t="shared" ca="1" si="0"/>
        <v>2.3287200000000001E-2</v>
      </c>
    </row>
    <row r="44" spans="1:9" x14ac:dyDescent="0.25">
      <c r="A44" s="15" t="e">
        <f ca="1"/>
        <v>#N/A</v>
      </c>
      <c r="B44" s="3" t="e">
        <f ca="1"/>
        <v>#N/A</v>
      </c>
      <c r="C44" s="7" t="e">
        <f ca="1"/>
        <v>#N/A</v>
      </c>
      <c r="D44" s="16" t="e">
        <f ca="1"/>
        <v>#N/A</v>
      </c>
      <c r="E44" s="16" t="e">
        <f ca="1"/>
        <v>#N/A</v>
      </c>
      <c r="F44" s="16" t="e">
        <f ca="1"/>
        <v>#N/A</v>
      </c>
      <c r="G44" s="5" t="e">
        <f ca="1"/>
        <v>#N/A</v>
      </c>
      <c r="I44" s="9" t="e">
        <f t="shared" ca="1" si="0"/>
        <v>#N/A</v>
      </c>
    </row>
    <row r="45" spans="1:9" x14ac:dyDescent="0.25">
      <c r="A45" s="15" t="e">
        <f ca="1"/>
        <v>#N/A</v>
      </c>
      <c r="B45" s="3" t="e">
        <f ca="1"/>
        <v>#N/A</v>
      </c>
      <c r="C45" s="7" t="e">
        <f ca="1"/>
        <v>#N/A</v>
      </c>
      <c r="D45" s="16" t="e">
        <f ca="1"/>
        <v>#N/A</v>
      </c>
      <c r="E45" s="16" t="e">
        <f ca="1"/>
        <v>#N/A</v>
      </c>
      <c r="F45" s="16" t="e">
        <f ca="1"/>
        <v>#N/A</v>
      </c>
      <c r="G45" s="5" t="e">
        <f ca="1"/>
        <v>#N/A</v>
      </c>
      <c r="I45" s="9" t="e">
        <f t="shared" ca="1" si="0"/>
        <v>#N/A</v>
      </c>
    </row>
    <row r="46" spans="1:9" x14ac:dyDescent="0.25">
      <c r="A46" s="15" t="e">
        <f ca="1"/>
        <v>#N/A</v>
      </c>
      <c r="B46" s="3" t="e">
        <f ca="1"/>
        <v>#N/A</v>
      </c>
      <c r="C46" s="7" t="e">
        <f ca="1"/>
        <v>#N/A</v>
      </c>
      <c r="D46" s="16" t="e">
        <f ca="1"/>
        <v>#N/A</v>
      </c>
      <c r="E46" s="16" t="e">
        <f ca="1"/>
        <v>#N/A</v>
      </c>
      <c r="F46" s="16" t="e">
        <f ca="1"/>
        <v>#N/A</v>
      </c>
      <c r="G46" s="5" t="e">
        <f ca="1"/>
        <v>#N/A</v>
      </c>
      <c r="I46" s="9" t="e">
        <f t="shared" ca="1" si="0"/>
        <v>#N/A</v>
      </c>
    </row>
    <row r="47" spans="1:9" x14ac:dyDescent="0.25">
      <c r="A47" s="15" t="e">
        <f ca="1"/>
        <v>#N/A</v>
      </c>
      <c r="B47" s="3" t="e">
        <f ca="1"/>
        <v>#N/A</v>
      </c>
      <c r="C47" s="7" t="e">
        <f ca="1"/>
        <v>#N/A</v>
      </c>
      <c r="D47" s="16" t="e">
        <f ca="1"/>
        <v>#N/A</v>
      </c>
      <c r="E47" s="16" t="e">
        <f ca="1"/>
        <v>#N/A</v>
      </c>
      <c r="F47" s="16" t="e">
        <f ca="1"/>
        <v>#N/A</v>
      </c>
      <c r="G47" s="5" t="e">
        <f ca="1"/>
        <v>#N/A</v>
      </c>
      <c r="I47" s="9" t="e">
        <f t="shared" ca="1" si="0"/>
        <v>#N/A</v>
      </c>
    </row>
    <row r="48" spans="1:9" x14ac:dyDescent="0.25">
      <c r="A48" s="15" t="e">
        <f ca="1"/>
        <v>#N/A</v>
      </c>
      <c r="B48" s="3" t="e">
        <f ca="1"/>
        <v>#N/A</v>
      </c>
      <c r="C48" s="7" t="e">
        <f ca="1"/>
        <v>#N/A</v>
      </c>
      <c r="D48" s="16" t="e">
        <f ca="1"/>
        <v>#N/A</v>
      </c>
      <c r="E48" s="16" t="e">
        <f ca="1"/>
        <v>#N/A</v>
      </c>
      <c r="F48" s="16" t="e">
        <f ca="1"/>
        <v>#N/A</v>
      </c>
      <c r="G48" s="5" t="e">
        <f ca="1"/>
        <v>#N/A</v>
      </c>
      <c r="I48" s="9" t="e">
        <f t="shared" ca="1" si="0"/>
        <v>#N/A</v>
      </c>
    </row>
    <row r="49" spans="1:9" x14ac:dyDescent="0.25">
      <c r="A49" s="15" t="e">
        <f ca="1"/>
        <v>#N/A</v>
      </c>
      <c r="B49" s="3" t="e">
        <f ca="1"/>
        <v>#N/A</v>
      </c>
      <c r="C49" s="7" t="e">
        <f ca="1"/>
        <v>#N/A</v>
      </c>
      <c r="D49" s="16" t="e">
        <f ca="1"/>
        <v>#N/A</v>
      </c>
      <c r="E49" s="16" t="e">
        <f ca="1"/>
        <v>#N/A</v>
      </c>
      <c r="F49" s="16" t="e">
        <f ca="1"/>
        <v>#N/A</v>
      </c>
      <c r="G49" s="5" t="e">
        <f ca="1"/>
        <v>#N/A</v>
      </c>
      <c r="I49" s="9" t="e">
        <f t="shared" ca="1" si="0"/>
        <v>#N/A</v>
      </c>
    </row>
    <row r="50" spans="1:9" x14ac:dyDescent="0.25">
      <c r="A50" s="15" t="e">
        <f ca="1"/>
        <v>#N/A</v>
      </c>
      <c r="B50" s="3" t="e">
        <f ca="1"/>
        <v>#N/A</v>
      </c>
      <c r="C50" s="7" t="e">
        <f ca="1"/>
        <v>#N/A</v>
      </c>
      <c r="D50" s="16" t="e">
        <f ca="1"/>
        <v>#N/A</v>
      </c>
      <c r="E50" s="16" t="e">
        <f ca="1"/>
        <v>#N/A</v>
      </c>
      <c r="F50" s="16" t="e">
        <f ca="1"/>
        <v>#N/A</v>
      </c>
      <c r="G50" s="5" t="e">
        <f ca="1"/>
        <v>#N/A</v>
      </c>
      <c r="I50" s="9" t="e">
        <f t="shared" ca="1" si="0"/>
        <v>#N/A</v>
      </c>
    </row>
    <row r="51" spans="1:9" x14ac:dyDescent="0.25">
      <c r="A51" s="15" t="e">
        <f ca="1"/>
        <v>#N/A</v>
      </c>
      <c r="B51" s="3" t="e">
        <f ca="1"/>
        <v>#N/A</v>
      </c>
      <c r="C51" s="7" t="e">
        <f ca="1"/>
        <v>#N/A</v>
      </c>
      <c r="D51" s="16" t="e">
        <f ca="1"/>
        <v>#N/A</v>
      </c>
      <c r="E51" s="16" t="e">
        <f ca="1"/>
        <v>#N/A</v>
      </c>
      <c r="F51" s="16" t="e">
        <f ca="1"/>
        <v>#N/A</v>
      </c>
      <c r="G51" s="5" t="e">
        <f ca="1"/>
        <v>#N/A</v>
      </c>
      <c r="I51" s="9" t="e">
        <f t="shared" ca="1" si="0"/>
        <v>#N/A</v>
      </c>
    </row>
    <row r="52" spans="1:9" x14ac:dyDescent="0.25">
      <c r="A52" s="15" t="e">
        <f ca="1"/>
        <v>#N/A</v>
      </c>
      <c r="B52" s="3" t="e">
        <f ca="1"/>
        <v>#N/A</v>
      </c>
      <c r="C52" s="7" t="e">
        <f ca="1"/>
        <v>#N/A</v>
      </c>
      <c r="D52" s="16" t="e">
        <f ca="1"/>
        <v>#N/A</v>
      </c>
      <c r="E52" s="16" t="e">
        <f ca="1"/>
        <v>#N/A</v>
      </c>
      <c r="F52" s="16" t="e">
        <f ca="1"/>
        <v>#N/A</v>
      </c>
      <c r="G52" s="5" t="e">
        <f ca="1"/>
        <v>#N/A</v>
      </c>
      <c r="I52" s="9" t="e">
        <f t="shared" ca="1" si="0"/>
        <v>#N/A</v>
      </c>
    </row>
    <row r="53" spans="1:9" x14ac:dyDescent="0.25">
      <c r="A53" s="15" t="e">
        <f ca="1"/>
        <v>#N/A</v>
      </c>
      <c r="B53" s="3" t="e">
        <f ca="1"/>
        <v>#N/A</v>
      </c>
      <c r="C53" s="7" t="e">
        <f ca="1"/>
        <v>#N/A</v>
      </c>
      <c r="D53" s="16" t="e">
        <f ca="1"/>
        <v>#N/A</v>
      </c>
      <c r="E53" s="16" t="e">
        <f ca="1"/>
        <v>#N/A</v>
      </c>
      <c r="F53" s="16" t="e">
        <f ca="1"/>
        <v>#N/A</v>
      </c>
      <c r="G53" s="5" t="e">
        <f ca="1"/>
        <v>#N/A</v>
      </c>
      <c r="I53" s="9" t="e">
        <f t="shared" ca="1" si="0"/>
        <v>#N/A</v>
      </c>
    </row>
    <row r="54" spans="1:9" x14ac:dyDescent="0.25">
      <c r="A54" s="15" t="e">
        <f ca="1"/>
        <v>#N/A</v>
      </c>
      <c r="B54" s="3" t="e">
        <f ca="1"/>
        <v>#N/A</v>
      </c>
      <c r="C54" s="7" t="e">
        <f ca="1"/>
        <v>#N/A</v>
      </c>
      <c r="D54" s="16" t="e">
        <f ca="1"/>
        <v>#N/A</v>
      </c>
      <c r="E54" s="16" t="e">
        <f ca="1"/>
        <v>#N/A</v>
      </c>
      <c r="F54" s="16" t="e">
        <f ca="1"/>
        <v>#N/A</v>
      </c>
      <c r="G54" s="5" t="e">
        <f ca="1"/>
        <v>#N/A</v>
      </c>
      <c r="I54" s="9" t="e">
        <f t="shared" ca="1" si="0"/>
        <v>#N/A</v>
      </c>
    </row>
    <row r="55" spans="1:9" x14ac:dyDescent="0.25">
      <c r="A55" s="15" t="e">
        <f ca="1"/>
        <v>#N/A</v>
      </c>
      <c r="B55" s="3" t="e">
        <f ca="1"/>
        <v>#N/A</v>
      </c>
      <c r="C55" s="7" t="e">
        <f ca="1"/>
        <v>#N/A</v>
      </c>
      <c r="D55" s="16" t="e">
        <f ca="1"/>
        <v>#N/A</v>
      </c>
      <c r="E55" s="16" t="e">
        <f ca="1"/>
        <v>#N/A</v>
      </c>
      <c r="F55" s="16" t="e">
        <f ca="1"/>
        <v>#N/A</v>
      </c>
      <c r="G55" s="5" t="e">
        <f ca="1"/>
        <v>#N/A</v>
      </c>
      <c r="I55" s="9" t="e">
        <f t="shared" ca="1" si="0"/>
        <v>#N/A</v>
      </c>
    </row>
    <row r="56" spans="1:9" x14ac:dyDescent="0.25">
      <c r="A56" s="15" t="e">
        <f ca="1"/>
        <v>#N/A</v>
      </c>
      <c r="B56" s="3" t="e">
        <f ca="1"/>
        <v>#N/A</v>
      </c>
      <c r="C56" s="7" t="e">
        <f ca="1"/>
        <v>#N/A</v>
      </c>
      <c r="D56" s="16" t="e">
        <f ca="1"/>
        <v>#N/A</v>
      </c>
      <c r="E56" s="16" t="e">
        <f ca="1"/>
        <v>#N/A</v>
      </c>
      <c r="F56" s="16" t="e">
        <f ca="1"/>
        <v>#N/A</v>
      </c>
      <c r="G56" s="5" t="e">
        <f ca="1"/>
        <v>#N/A</v>
      </c>
      <c r="I56" s="9" t="e">
        <f t="shared" ca="1" si="0"/>
        <v>#N/A</v>
      </c>
    </row>
    <row r="57" spans="1:9" x14ac:dyDescent="0.25">
      <c r="A57" s="15" t="e">
        <f ca="1"/>
        <v>#N/A</v>
      </c>
      <c r="B57" s="3" t="e">
        <f ca="1"/>
        <v>#N/A</v>
      </c>
      <c r="C57" s="7" t="e">
        <f ca="1"/>
        <v>#N/A</v>
      </c>
      <c r="D57" s="16" t="e">
        <f ca="1"/>
        <v>#N/A</v>
      </c>
      <c r="E57" s="16" t="e">
        <f ca="1"/>
        <v>#N/A</v>
      </c>
      <c r="F57" s="16" t="e">
        <f ca="1"/>
        <v>#N/A</v>
      </c>
      <c r="G57" s="5" t="e">
        <f ca="1"/>
        <v>#N/A</v>
      </c>
      <c r="I57" s="9" t="e">
        <f t="shared" ca="1" si="0"/>
        <v>#N/A</v>
      </c>
    </row>
    <row r="58" spans="1:9" x14ac:dyDescent="0.25">
      <c r="A58" s="15" t="e">
        <f ca="1"/>
        <v>#N/A</v>
      </c>
      <c r="B58" s="3" t="e">
        <f ca="1"/>
        <v>#N/A</v>
      </c>
      <c r="C58" s="7" t="e">
        <f ca="1"/>
        <v>#N/A</v>
      </c>
      <c r="D58" s="16" t="e">
        <f ca="1"/>
        <v>#N/A</v>
      </c>
      <c r="E58" s="16" t="e">
        <f ca="1"/>
        <v>#N/A</v>
      </c>
      <c r="F58" s="16" t="e">
        <f ca="1"/>
        <v>#N/A</v>
      </c>
      <c r="G58" s="5" t="e">
        <f ca="1"/>
        <v>#N/A</v>
      </c>
      <c r="I58" s="9" t="e">
        <f t="shared" ca="1" si="0"/>
        <v>#N/A</v>
      </c>
    </row>
    <row r="59" spans="1:9" x14ac:dyDescent="0.25">
      <c r="A59" s="15" t="e">
        <f ca="1"/>
        <v>#N/A</v>
      </c>
      <c r="B59" s="3" t="e">
        <f ca="1"/>
        <v>#N/A</v>
      </c>
      <c r="C59" s="7" t="e">
        <f ca="1"/>
        <v>#N/A</v>
      </c>
      <c r="D59" s="16" t="e">
        <f ca="1"/>
        <v>#N/A</v>
      </c>
      <c r="E59" s="16" t="e">
        <f ca="1"/>
        <v>#N/A</v>
      </c>
      <c r="F59" s="16" t="e">
        <f ca="1"/>
        <v>#N/A</v>
      </c>
      <c r="G59" s="5" t="e">
        <f ca="1"/>
        <v>#N/A</v>
      </c>
      <c r="I59" s="9" t="e">
        <f t="shared" ca="1" si="0"/>
        <v>#N/A</v>
      </c>
    </row>
    <row r="60" spans="1:9" x14ac:dyDescent="0.25">
      <c r="A60" s="15" t="e">
        <f ca="1"/>
        <v>#N/A</v>
      </c>
      <c r="B60" s="3" t="e">
        <f ca="1"/>
        <v>#N/A</v>
      </c>
      <c r="C60" s="7" t="e">
        <f ca="1"/>
        <v>#N/A</v>
      </c>
      <c r="D60" s="16" t="e">
        <f ca="1"/>
        <v>#N/A</v>
      </c>
      <c r="E60" s="16" t="e">
        <f ca="1"/>
        <v>#N/A</v>
      </c>
      <c r="F60" s="16" t="e">
        <f ca="1"/>
        <v>#N/A</v>
      </c>
      <c r="G60" s="5" t="e">
        <f ca="1"/>
        <v>#N/A</v>
      </c>
      <c r="I60" s="9" t="e">
        <f t="shared" ca="1" si="0"/>
        <v>#N/A</v>
      </c>
    </row>
    <row r="61" spans="1:9" x14ac:dyDescent="0.25">
      <c r="A61" s="15" t="e">
        <f ca="1"/>
        <v>#N/A</v>
      </c>
      <c r="B61" s="3" t="e">
        <f ca="1"/>
        <v>#N/A</v>
      </c>
      <c r="C61" s="7" t="e">
        <f ca="1"/>
        <v>#N/A</v>
      </c>
      <c r="D61" s="16" t="e">
        <f ca="1"/>
        <v>#N/A</v>
      </c>
      <c r="E61" s="16" t="e">
        <f ca="1"/>
        <v>#N/A</v>
      </c>
      <c r="F61" s="16" t="e">
        <f ca="1"/>
        <v>#N/A</v>
      </c>
      <c r="G61" s="5" t="e">
        <f ca="1"/>
        <v>#N/A</v>
      </c>
      <c r="I61" s="9" t="e">
        <f t="shared" ca="1" si="0"/>
        <v>#N/A</v>
      </c>
    </row>
    <row r="62" spans="1:9" x14ac:dyDescent="0.25">
      <c r="A62" s="15" t="e">
        <f ca="1"/>
        <v>#N/A</v>
      </c>
      <c r="B62" s="3" t="e">
        <f ca="1"/>
        <v>#N/A</v>
      </c>
      <c r="C62" s="7" t="e">
        <f ca="1"/>
        <v>#N/A</v>
      </c>
      <c r="D62" s="16" t="e">
        <f ca="1"/>
        <v>#N/A</v>
      </c>
      <c r="E62" s="16" t="e">
        <f ca="1"/>
        <v>#N/A</v>
      </c>
      <c r="F62" s="16" t="e">
        <f ca="1"/>
        <v>#N/A</v>
      </c>
      <c r="G62" s="5" t="e">
        <f ca="1"/>
        <v>#N/A</v>
      </c>
      <c r="I62" s="9" t="e">
        <f t="shared" ca="1" si="0"/>
        <v>#N/A</v>
      </c>
    </row>
    <row r="63" spans="1:9" x14ac:dyDescent="0.25">
      <c r="A63" s="15" t="e">
        <f ca="1"/>
        <v>#N/A</v>
      </c>
      <c r="B63" s="3" t="e">
        <f ca="1"/>
        <v>#N/A</v>
      </c>
      <c r="C63" s="7" t="e">
        <f ca="1"/>
        <v>#N/A</v>
      </c>
      <c r="D63" s="16" t="e">
        <f ca="1"/>
        <v>#N/A</v>
      </c>
      <c r="E63" s="16" t="e">
        <f ca="1"/>
        <v>#N/A</v>
      </c>
      <c r="F63" s="16" t="e">
        <f ca="1"/>
        <v>#N/A</v>
      </c>
      <c r="G63" s="5" t="e">
        <f ca="1"/>
        <v>#N/A</v>
      </c>
      <c r="I63" s="9" t="e">
        <f t="shared" ca="1" si="0"/>
        <v>#N/A</v>
      </c>
    </row>
    <row r="64" spans="1:9" x14ac:dyDescent="0.25">
      <c r="A64" s="15" t="e">
        <f ca="1"/>
        <v>#N/A</v>
      </c>
      <c r="B64" s="3" t="e">
        <f ca="1"/>
        <v>#N/A</v>
      </c>
      <c r="C64" s="7" t="e">
        <f ca="1"/>
        <v>#N/A</v>
      </c>
      <c r="D64" s="16" t="e">
        <f ca="1"/>
        <v>#N/A</v>
      </c>
      <c r="E64" s="16" t="e">
        <f ca="1"/>
        <v>#N/A</v>
      </c>
      <c r="F64" s="16" t="e">
        <f ca="1"/>
        <v>#N/A</v>
      </c>
      <c r="G64" s="5" t="e">
        <f ca="1"/>
        <v>#N/A</v>
      </c>
      <c r="I64" s="9" t="e">
        <f t="shared" ca="1" si="0"/>
        <v>#N/A</v>
      </c>
    </row>
    <row r="65" spans="1:9" x14ac:dyDescent="0.25">
      <c r="A65" s="15" t="e">
        <f ca="1"/>
        <v>#N/A</v>
      </c>
      <c r="B65" s="3" t="e">
        <f ca="1"/>
        <v>#N/A</v>
      </c>
      <c r="C65" s="7" t="e">
        <f ca="1"/>
        <v>#N/A</v>
      </c>
      <c r="D65" s="16" t="e">
        <f ca="1"/>
        <v>#N/A</v>
      </c>
      <c r="E65" s="16" t="e">
        <f ca="1"/>
        <v>#N/A</v>
      </c>
      <c r="F65" s="16" t="e">
        <f ca="1"/>
        <v>#N/A</v>
      </c>
      <c r="G65" s="5" t="e">
        <f ca="1"/>
        <v>#N/A</v>
      </c>
      <c r="I65" s="9" t="e">
        <f t="shared" ca="1" si="0"/>
        <v>#N/A</v>
      </c>
    </row>
    <row r="66" spans="1:9" x14ac:dyDescent="0.25">
      <c r="A66" s="15" t="e">
        <f ca="1"/>
        <v>#N/A</v>
      </c>
      <c r="B66" s="3" t="e">
        <f ca="1"/>
        <v>#N/A</v>
      </c>
      <c r="C66" s="7" t="e">
        <f ca="1"/>
        <v>#N/A</v>
      </c>
      <c r="D66" s="16" t="e">
        <f ca="1"/>
        <v>#N/A</v>
      </c>
      <c r="E66" s="16" t="e">
        <f ca="1"/>
        <v>#N/A</v>
      </c>
      <c r="F66" s="16" t="e">
        <f ca="1"/>
        <v>#N/A</v>
      </c>
      <c r="G66" s="5" t="e">
        <f ca="1"/>
        <v>#N/A</v>
      </c>
      <c r="I66" s="9" t="e">
        <f t="shared" ca="1" si="0"/>
        <v>#N/A</v>
      </c>
    </row>
    <row r="67" spans="1:9" x14ac:dyDescent="0.25">
      <c r="A67" s="15" t="e">
        <f ca="1"/>
        <v>#N/A</v>
      </c>
      <c r="B67" s="3" t="e">
        <f ca="1"/>
        <v>#N/A</v>
      </c>
      <c r="C67" s="7" t="e">
        <f ca="1"/>
        <v>#N/A</v>
      </c>
      <c r="D67" s="16" t="e">
        <f ca="1"/>
        <v>#N/A</v>
      </c>
      <c r="E67" s="16" t="e">
        <f ca="1"/>
        <v>#N/A</v>
      </c>
      <c r="F67" s="16" t="e">
        <f ca="1"/>
        <v>#N/A</v>
      </c>
      <c r="G67" s="5" t="e">
        <f ca="1"/>
        <v>#N/A</v>
      </c>
      <c r="I67" s="9" t="e">
        <f t="shared" ref="I67:I130" ca="1" si="1">F67+G67</f>
        <v>#N/A</v>
      </c>
    </row>
    <row r="68" spans="1:9" x14ac:dyDescent="0.25">
      <c r="A68" s="15" t="e">
        <f ca="1"/>
        <v>#N/A</v>
      </c>
      <c r="B68" s="3" t="e">
        <f ca="1"/>
        <v>#N/A</v>
      </c>
      <c r="C68" s="7" t="e">
        <f ca="1"/>
        <v>#N/A</v>
      </c>
      <c r="D68" s="16" t="e">
        <f ca="1"/>
        <v>#N/A</v>
      </c>
      <c r="E68" s="16" t="e">
        <f ca="1"/>
        <v>#N/A</v>
      </c>
      <c r="F68" s="16" t="e">
        <f ca="1"/>
        <v>#N/A</v>
      </c>
      <c r="G68" s="5" t="e">
        <f ca="1"/>
        <v>#N/A</v>
      </c>
      <c r="I68" s="9" t="e">
        <f t="shared" ca="1" si="1"/>
        <v>#N/A</v>
      </c>
    </row>
    <row r="69" spans="1:9" x14ac:dyDescent="0.25">
      <c r="A69" s="15" t="e">
        <f ca="1"/>
        <v>#N/A</v>
      </c>
      <c r="B69" s="3" t="e">
        <f ca="1"/>
        <v>#N/A</v>
      </c>
      <c r="C69" s="7" t="e">
        <f ca="1"/>
        <v>#N/A</v>
      </c>
      <c r="D69" s="16" t="e">
        <f ca="1"/>
        <v>#N/A</v>
      </c>
      <c r="E69" s="16" t="e">
        <f ca="1"/>
        <v>#N/A</v>
      </c>
      <c r="F69" s="16" t="e">
        <f ca="1"/>
        <v>#N/A</v>
      </c>
      <c r="G69" s="5" t="e">
        <f ca="1"/>
        <v>#N/A</v>
      </c>
      <c r="I69" s="9" t="e">
        <f t="shared" ca="1" si="1"/>
        <v>#N/A</v>
      </c>
    </row>
    <row r="70" spans="1:9" x14ac:dyDescent="0.25">
      <c r="A70" s="15" t="e">
        <f ca="1"/>
        <v>#N/A</v>
      </c>
      <c r="B70" s="3" t="e">
        <f ca="1"/>
        <v>#N/A</v>
      </c>
      <c r="C70" s="7" t="e">
        <f ca="1"/>
        <v>#N/A</v>
      </c>
      <c r="D70" s="16" t="e">
        <f ca="1"/>
        <v>#N/A</v>
      </c>
      <c r="E70" s="16" t="e">
        <f ca="1"/>
        <v>#N/A</v>
      </c>
      <c r="F70" s="16" t="e">
        <f ca="1"/>
        <v>#N/A</v>
      </c>
      <c r="G70" s="5" t="e">
        <f ca="1"/>
        <v>#N/A</v>
      </c>
      <c r="I70" s="9" t="e">
        <f t="shared" ca="1" si="1"/>
        <v>#N/A</v>
      </c>
    </row>
    <row r="71" spans="1:9" x14ac:dyDescent="0.25">
      <c r="A71" s="15" t="e">
        <f ca="1"/>
        <v>#N/A</v>
      </c>
      <c r="B71" s="3" t="e">
        <f ca="1"/>
        <v>#N/A</v>
      </c>
      <c r="C71" s="7" t="e">
        <f ca="1"/>
        <v>#N/A</v>
      </c>
      <c r="D71" s="16" t="e">
        <f ca="1"/>
        <v>#N/A</v>
      </c>
      <c r="E71" s="16" t="e">
        <f ca="1"/>
        <v>#N/A</v>
      </c>
      <c r="F71" s="16" t="e">
        <f ca="1"/>
        <v>#N/A</v>
      </c>
      <c r="G71" s="5" t="e">
        <f ca="1"/>
        <v>#N/A</v>
      </c>
      <c r="I71" s="9" t="e">
        <f t="shared" ca="1" si="1"/>
        <v>#N/A</v>
      </c>
    </row>
    <row r="72" spans="1:9" x14ac:dyDescent="0.25">
      <c r="A72" s="15" t="e">
        <f ca="1"/>
        <v>#N/A</v>
      </c>
      <c r="B72" s="3" t="e">
        <f ca="1"/>
        <v>#N/A</v>
      </c>
      <c r="C72" s="7" t="e">
        <f ca="1"/>
        <v>#N/A</v>
      </c>
      <c r="D72" s="16" t="e">
        <f ca="1"/>
        <v>#N/A</v>
      </c>
      <c r="E72" s="16" t="e">
        <f ca="1"/>
        <v>#N/A</v>
      </c>
      <c r="F72" s="16" t="e">
        <f ca="1"/>
        <v>#N/A</v>
      </c>
      <c r="G72" s="5" t="e">
        <f ca="1"/>
        <v>#N/A</v>
      </c>
      <c r="I72" s="9" t="e">
        <f t="shared" ca="1" si="1"/>
        <v>#N/A</v>
      </c>
    </row>
    <row r="73" spans="1:9" x14ac:dyDescent="0.25">
      <c r="A73" s="15" t="e">
        <f ca="1"/>
        <v>#N/A</v>
      </c>
      <c r="B73" s="3" t="e">
        <f ca="1"/>
        <v>#N/A</v>
      </c>
      <c r="C73" s="7" t="e">
        <f ca="1"/>
        <v>#N/A</v>
      </c>
      <c r="D73" s="16" t="e">
        <f ca="1"/>
        <v>#N/A</v>
      </c>
      <c r="E73" s="16" t="e">
        <f ca="1"/>
        <v>#N/A</v>
      </c>
      <c r="F73" s="16" t="e">
        <f ca="1"/>
        <v>#N/A</v>
      </c>
      <c r="G73" s="5" t="e">
        <f ca="1"/>
        <v>#N/A</v>
      </c>
      <c r="I73" s="9" t="e">
        <f t="shared" ca="1" si="1"/>
        <v>#N/A</v>
      </c>
    </row>
    <row r="74" spans="1:9" x14ac:dyDescent="0.25">
      <c r="A74" s="15" t="e">
        <f ca="1"/>
        <v>#N/A</v>
      </c>
      <c r="B74" s="3" t="e">
        <f ca="1"/>
        <v>#N/A</v>
      </c>
      <c r="C74" s="7" t="e">
        <f ca="1"/>
        <v>#N/A</v>
      </c>
      <c r="D74" s="16" t="e">
        <f ca="1"/>
        <v>#N/A</v>
      </c>
      <c r="E74" s="16" t="e">
        <f ca="1"/>
        <v>#N/A</v>
      </c>
      <c r="F74" s="16" t="e">
        <f ca="1"/>
        <v>#N/A</v>
      </c>
      <c r="G74" s="5" t="e">
        <f ca="1"/>
        <v>#N/A</v>
      </c>
      <c r="I74" s="9" t="e">
        <f t="shared" ca="1" si="1"/>
        <v>#N/A</v>
      </c>
    </row>
    <row r="75" spans="1:9" x14ac:dyDescent="0.25">
      <c r="A75" s="15" t="e">
        <f ca="1"/>
        <v>#N/A</v>
      </c>
      <c r="B75" s="3" t="e">
        <f ca="1"/>
        <v>#N/A</v>
      </c>
      <c r="C75" s="7" t="e">
        <f ca="1"/>
        <v>#N/A</v>
      </c>
      <c r="D75" s="16" t="e">
        <f ca="1"/>
        <v>#N/A</v>
      </c>
      <c r="E75" s="16" t="e">
        <f ca="1"/>
        <v>#N/A</v>
      </c>
      <c r="F75" s="16" t="e">
        <f ca="1"/>
        <v>#N/A</v>
      </c>
      <c r="G75" s="5" t="e">
        <f ca="1"/>
        <v>#N/A</v>
      </c>
      <c r="I75" s="9" t="e">
        <f t="shared" ca="1" si="1"/>
        <v>#N/A</v>
      </c>
    </row>
    <row r="76" spans="1:9" x14ac:dyDescent="0.25">
      <c r="A76" s="15" t="e">
        <f ca="1"/>
        <v>#N/A</v>
      </c>
      <c r="B76" s="3" t="e">
        <f ca="1"/>
        <v>#N/A</v>
      </c>
      <c r="C76" s="7" t="e">
        <f ca="1"/>
        <v>#N/A</v>
      </c>
      <c r="D76" s="16" t="e">
        <f ca="1"/>
        <v>#N/A</v>
      </c>
      <c r="E76" s="16" t="e">
        <f ca="1"/>
        <v>#N/A</v>
      </c>
      <c r="F76" s="16" t="e">
        <f ca="1"/>
        <v>#N/A</v>
      </c>
      <c r="G76" s="5" t="e">
        <f ca="1"/>
        <v>#N/A</v>
      </c>
      <c r="I76" s="9" t="e">
        <f t="shared" ca="1" si="1"/>
        <v>#N/A</v>
      </c>
    </row>
    <row r="77" spans="1:9" x14ac:dyDescent="0.25">
      <c r="A77" s="15" t="e">
        <f ca="1"/>
        <v>#N/A</v>
      </c>
      <c r="B77" s="3" t="e">
        <f ca="1"/>
        <v>#N/A</v>
      </c>
      <c r="C77" s="7" t="e">
        <f ca="1"/>
        <v>#N/A</v>
      </c>
      <c r="D77" s="16" t="e">
        <f ca="1"/>
        <v>#N/A</v>
      </c>
      <c r="E77" s="16" t="e">
        <f ca="1"/>
        <v>#N/A</v>
      </c>
      <c r="F77" s="16" t="e">
        <f ca="1"/>
        <v>#N/A</v>
      </c>
      <c r="G77" s="5" t="e">
        <f ca="1"/>
        <v>#N/A</v>
      </c>
      <c r="I77" s="9" t="e">
        <f t="shared" ca="1" si="1"/>
        <v>#N/A</v>
      </c>
    </row>
    <row r="78" spans="1:9" x14ac:dyDescent="0.25">
      <c r="A78" s="15" t="e">
        <f ca="1"/>
        <v>#N/A</v>
      </c>
      <c r="B78" s="3" t="e">
        <f ca="1"/>
        <v>#N/A</v>
      </c>
      <c r="C78" s="7" t="e">
        <f ca="1"/>
        <v>#N/A</v>
      </c>
      <c r="D78" s="16" t="e">
        <f ca="1"/>
        <v>#N/A</v>
      </c>
      <c r="E78" s="16" t="e">
        <f ca="1"/>
        <v>#N/A</v>
      </c>
      <c r="F78" s="16" t="e">
        <f ca="1"/>
        <v>#N/A</v>
      </c>
      <c r="G78" s="5" t="e">
        <f ca="1"/>
        <v>#N/A</v>
      </c>
      <c r="I78" s="9" t="e">
        <f t="shared" ca="1" si="1"/>
        <v>#N/A</v>
      </c>
    </row>
    <row r="79" spans="1:9" x14ac:dyDescent="0.25">
      <c r="A79" s="15" t="e">
        <f ca="1"/>
        <v>#N/A</v>
      </c>
      <c r="B79" s="3" t="e">
        <f ca="1"/>
        <v>#N/A</v>
      </c>
      <c r="C79" s="7" t="e">
        <f ca="1"/>
        <v>#N/A</v>
      </c>
      <c r="D79" s="16" t="e">
        <f ca="1"/>
        <v>#N/A</v>
      </c>
      <c r="E79" s="16" t="e">
        <f ca="1"/>
        <v>#N/A</v>
      </c>
      <c r="F79" s="16" t="e">
        <f ca="1"/>
        <v>#N/A</v>
      </c>
      <c r="G79" s="5" t="e">
        <f ca="1"/>
        <v>#N/A</v>
      </c>
      <c r="I79" s="9" t="e">
        <f t="shared" ca="1" si="1"/>
        <v>#N/A</v>
      </c>
    </row>
    <row r="80" spans="1:9" x14ac:dyDescent="0.25">
      <c r="A80" s="15" t="e">
        <f ca="1"/>
        <v>#N/A</v>
      </c>
      <c r="B80" s="3" t="e">
        <f ca="1"/>
        <v>#N/A</v>
      </c>
      <c r="C80" s="7" t="e">
        <f ca="1"/>
        <v>#N/A</v>
      </c>
      <c r="D80" s="16" t="e">
        <f ca="1"/>
        <v>#N/A</v>
      </c>
      <c r="E80" s="16" t="e">
        <f ca="1"/>
        <v>#N/A</v>
      </c>
      <c r="F80" s="16" t="e">
        <f ca="1"/>
        <v>#N/A</v>
      </c>
      <c r="G80" s="5" t="e">
        <f ca="1"/>
        <v>#N/A</v>
      </c>
      <c r="I80" s="9" t="e">
        <f t="shared" ca="1" si="1"/>
        <v>#N/A</v>
      </c>
    </row>
    <row r="81" spans="1:9" x14ac:dyDescent="0.25">
      <c r="A81" s="15" t="e">
        <f ca="1"/>
        <v>#N/A</v>
      </c>
      <c r="B81" s="3" t="e">
        <f ca="1"/>
        <v>#N/A</v>
      </c>
      <c r="C81" s="7" t="e">
        <f ca="1"/>
        <v>#N/A</v>
      </c>
      <c r="D81" s="16" t="e">
        <f ca="1"/>
        <v>#N/A</v>
      </c>
      <c r="E81" s="16" t="e">
        <f ca="1"/>
        <v>#N/A</v>
      </c>
      <c r="F81" s="16" t="e">
        <f ca="1"/>
        <v>#N/A</v>
      </c>
      <c r="G81" s="5" t="e">
        <f ca="1"/>
        <v>#N/A</v>
      </c>
      <c r="I81" s="9" t="e">
        <f t="shared" ca="1" si="1"/>
        <v>#N/A</v>
      </c>
    </row>
    <row r="82" spans="1:9" x14ac:dyDescent="0.25">
      <c r="A82" s="15" t="e">
        <f ca="1"/>
        <v>#N/A</v>
      </c>
      <c r="B82" s="3" t="e">
        <f ca="1"/>
        <v>#N/A</v>
      </c>
      <c r="C82" s="7" t="e">
        <f ca="1"/>
        <v>#N/A</v>
      </c>
      <c r="D82" s="16" t="e">
        <f ca="1"/>
        <v>#N/A</v>
      </c>
      <c r="E82" s="16" t="e">
        <f ca="1"/>
        <v>#N/A</v>
      </c>
      <c r="F82" s="16" t="e">
        <f ca="1"/>
        <v>#N/A</v>
      </c>
      <c r="G82" s="5" t="e">
        <f ca="1"/>
        <v>#N/A</v>
      </c>
      <c r="I82" s="9" t="e">
        <f t="shared" ca="1" si="1"/>
        <v>#N/A</v>
      </c>
    </row>
    <row r="83" spans="1:9" x14ac:dyDescent="0.25">
      <c r="A83" s="15" t="e">
        <f ca="1"/>
        <v>#N/A</v>
      </c>
      <c r="B83" s="3" t="e">
        <f ca="1"/>
        <v>#N/A</v>
      </c>
      <c r="C83" s="7" t="e">
        <f ca="1"/>
        <v>#N/A</v>
      </c>
      <c r="D83" s="16" t="e">
        <f ca="1"/>
        <v>#N/A</v>
      </c>
      <c r="E83" s="16" t="e">
        <f ca="1"/>
        <v>#N/A</v>
      </c>
      <c r="F83" s="16" t="e">
        <f ca="1"/>
        <v>#N/A</v>
      </c>
      <c r="G83" s="5" t="e">
        <f ca="1"/>
        <v>#N/A</v>
      </c>
      <c r="I83" s="9" t="e">
        <f t="shared" ca="1" si="1"/>
        <v>#N/A</v>
      </c>
    </row>
    <row r="84" spans="1:9" x14ac:dyDescent="0.25">
      <c r="A84" s="15" t="e">
        <f ca="1"/>
        <v>#N/A</v>
      </c>
      <c r="B84" s="3" t="e">
        <f ca="1"/>
        <v>#N/A</v>
      </c>
      <c r="C84" s="7" t="e">
        <f ca="1"/>
        <v>#N/A</v>
      </c>
      <c r="D84" s="16" t="e">
        <f ca="1"/>
        <v>#N/A</v>
      </c>
      <c r="E84" s="16" t="e">
        <f ca="1"/>
        <v>#N/A</v>
      </c>
      <c r="F84" s="16" t="e">
        <f ca="1"/>
        <v>#N/A</v>
      </c>
      <c r="G84" s="5" t="e">
        <f ca="1"/>
        <v>#N/A</v>
      </c>
      <c r="I84" s="9" t="e">
        <f t="shared" ca="1" si="1"/>
        <v>#N/A</v>
      </c>
    </row>
    <row r="85" spans="1:9" x14ac:dyDescent="0.25">
      <c r="A85" s="15" t="e">
        <f ca="1"/>
        <v>#N/A</v>
      </c>
      <c r="B85" s="3" t="e">
        <f ca="1"/>
        <v>#N/A</v>
      </c>
      <c r="C85" s="7" t="e">
        <f ca="1"/>
        <v>#N/A</v>
      </c>
      <c r="D85" s="16" t="e">
        <f ca="1"/>
        <v>#N/A</v>
      </c>
      <c r="E85" s="16" t="e">
        <f ca="1"/>
        <v>#N/A</v>
      </c>
      <c r="F85" s="16" t="e">
        <f ca="1"/>
        <v>#N/A</v>
      </c>
      <c r="G85" s="5" t="e">
        <f ca="1"/>
        <v>#N/A</v>
      </c>
      <c r="I85" s="9" t="e">
        <f t="shared" ca="1" si="1"/>
        <v>#N/A</v>
      </c>
    </row>
    <row r="86" spans="1:9" x14ac:dyDescent="0.25">
      <c r="A86" s="15" t="e">
        <f ca="1"/>
        <v>#N/A</v>
      </c>
      <c r="B86" s="3" t="e">
        <f ca="1"/>
        <v>#N/A</v>
      </c>
      <c r="C86" s="7" t="e">
        <f ca="1"/>
        <v>#N/A</v>
      </c>
      <c r="D86" s="16" t="e">
        <f ca="1"/>
        <v>#N/A</v>
      </c>
      <c r="E86" s="16" t="e">
        <f ca="1"/>
        <v>#N/A</v>
      </c>
      <c r="F86" s="16" t="e">
        <f ca="1"/>
        <v>#N/A</v>
      </c>
      <c r="G86" s="5" t="e">
        <f ca="1"/>
        <v>#N/A</v>
      </c>
      <c r="I86" s="9" t="e">
        <f t="shared" ca="1" si="1"/>
        <v>#N/A</v>
      </c>
    </row>
    <row r="87" spans="1:9" x14ac:dyDescent="0.25">
      <c r="A87" s="15" t="e">
        <f ca="1"/>
        <v>#N/A</v>
      </c>
      <c r="B87" s="3" t="e">
        <f ca="1"/>
        <v>#N/A</v>
      </c>
      <c r="C87" s="7" t="e">
        <f ca="1"/>
        <v>#N/A</v>
      </c>
      <c r="D87" s="16" t="e">
        <f ca="1"/>
        <v>#N/A</v>
      </c>
      <c r="E87" s="16" t="e">
        <f ca="1"/>
        <v>#N/A</v>
      </c>
      <c r="F87" s="16" t="e">
        <f ca="1"/>
        <v>#N/A</v>
      </c>
      <c r="G87" s="5" t="e">
        <f ca="1"/>
        <v>#N/A</v>
      </c>
      <c r="I87" s="9" t="e">
        <f t="shared" ca="1" si="1"/>
        <v>#N/A</v>
      </c>
    </row>
    <row r="88" spans="1:9" x14ac:dyDescent="0.25">
      <c r="A88" s="15" t="e">
        <f ca="1"/>
        <v>#N/A</v>
      </c>
      <c r="B88" s="3" t="e">
        <f ca="1"/>
        <v>#N/A</v>
      </c>
      <c r="C88" s="7" t="e">
        <f ca="1"/>
        <v>#N/A</v>
      </c>
      <c r="D88" s="16" t="e">
        <f ca="1"/>
        <v>#N/A</v>
      </c>
      <c r="E88" s="16" t="e">
        <f ca="1"/>
        <v>#N/A</v>
      </c>
      <c r="F88" s="16" t="e">
        <f ca="1"/>
        <v>#N/A</v>
      </c>
      <c r="G88" s="5" t="e">
        <f ca="1"/>
        <v>#N/A</v>
      </c>
      <c r="I88" s="9" t="e">
        <f t="shared" ca="1" si="1"/>
        <v>#N/A</v>
      </c>
    </row>
    <row r="89" spans="1:9" x14ac:dyDescent="0.25">
      <c r="A89" s="15" t="e">
        <f ca="1"/>
        <v>#N/A</v>
      </c>
      <c r="B89" s="3" t="e">
        <f ca="1"/>
        <v>#N/A</v>
      </c>
      <c r="C89" s="7" t="e">
        <f ca="1"/>
        <v>#N/A</v>
      </c>
      <c r="D89" s="16" t="e">
        <f ca="1"/>
        <v>#N/A</v>
      </c>
      <c r="E89" s="16" t="e">
        <f ca="1"/>
        <v>#N/A</v>
      </c>
      <c r="F89" s="16" t="e">
        <f ca="1"/>
        <v>#N/A</v>
      </c>
      <c r="G89" s="5" t="e">
        <f ca="1"/>
        <v>#N/A</v>
      </c>
      <c r="I89" s="9" t="e">
        <f t="shared" ca="1" si="1"/>
        <v>#N/A</v>
      </c>
    </row>
    <row r="90" spans="1:9" x14ac:dyDescent="0.25">
      <c r="A90" s="15" t="e">
        <f ca="1"/>
        <v>#N/A</v>
      </c>
      <c r="B90" s="3" t="e">
        <f ca="1"/>
        <v>#N/A</v>
      </c>
      <c r="C90" s="7" t="e">
        <f ca="1"/>
        <v>#N/A</v>
      </c>
      <c r="D90" s="16" t="e">
        <f ca="1"/>
        <v>#N/A</v>
      </c>
      <c r="E90" s="16" t="e">
        <f ca="1"/>
        <v>#N/A</v>
      </c>
      <c r="F90" s="16" t="e">
        <f ca="1"/>
        <v>#N/A</v>
      </c>
      <c r="G90" s="5" t="e">
        <f ca="1"/>
        <v>#N/A</v>
      </c>
      <c r="I90" s="9" t="e">
        <f t="shared" ca="1" si="1"/>
        <v>#N/A</v>
      </c>
    </row>
    <row r="91" spans="1:9" x14ac:dyDescent="0.25">
      <c r="A91" s="15" t="e">
        <f ca="1"/>
        <v>#N/A</v>
      </c>
      <c r="B91" s="3" t="e">
        <f ca="1"/>
        <v>#N/A</v>
      </c>
      <c r="C91" s="7" t="e">
        <f ca="1"/>
        <v>#N/A</v>
      </c>
      <c r="D91" s="16" t="e">
        <f ca="1"/>
        <v>#N/A</v>
      </c>
      <c r="E91" s="16" t="e">
        <f ca="1"/>
        <v>#N/A</v>
      </c>
      <c r="F91" s="16" t="e">
        <f ca="1"/>
        <v>#N/A</v>
      </c>
      <c r="G91" s="5" t="e">
        <f ca="1"/>
        <v>#N/A</v>
      </c>
      <c r="I91" s="9" t="e">
        <f t="shared" ca="1" si="1"/>
        <v>#N/A</v>
      </c>
    </row>
    <row r="92" spans="1:9" x14ac:dyDescent="0.25">
      <c r="A92" s="15" t="e">
        <f ca="1"/>
        <v>#N/A</v>
      </c>
      <c r="B92" s="3" t="e">
        <f ca="1"/>
        <v>#N/A</v>
      </c>
      <c r="C92" s="7" t="e">
        <f ca="1"/>
        <v>#N/A</v>
      </c>
      <c r="D92" s="16" t="e">
        <f ca="1"/>
        <v>#N/A</v>
      </c>
      <c r="E92" s="16" t="e">
        <f ca="1"/>
        <v>#N/A</v>
      </c>
      <c r="F92" s="16" t="e">
        <f ca="1"/>
        <v>#N/A</v>
      </c>
      <c r="G92" s="5" t="e">
        <f ca="1"/>
        <v>#N/A</v>
      </c>
      <c r="I92" s="9" t="e">
        <f t="shared" ca="1" si="1"/>
        <v>#N/A</v>
      </c>
    </row>
    <row r="93" spans="1:9" x14ac:dyDescent="0.25">
      <c r="A93" s="15" t="e">
        <f ca="1"/>
        <v>#N/A</v>
      </c>
      <c r="B93" s="3" t="e">
        <f ca="1"/>
        <v>#N/A</v>
      </c>
      <c r="C93" s="7" t="e">
        <f ca="1"/>
        <v>#N/A</v>
      </c>
      <c r="D93" s="16" t="e">
        <f ca="1"/>
        <v>#N/A</v>
      </c>
      <c r="E93" s="16" t="e">
        <f ca="1"/>
        <v>#N/A</v>
      </c>
      <c r="F93" s="16" t="e">
        <f ca="1"/>
        <v>#N/A</v>
      </c>
      <c r="G93" s="5" t="e">
        <f ca="1"/>
        <v>#N/A</v>
      </c>
      <c r="I93" s="9" t="e">
        <f t="shared" ca="1" si="1"/>
        <v>#N/A</v>
      </c>
    </row>
    <row r="94" spans="1:9" x14ac:dyDescent="0.25">
      <c r="A94" s="15" t="e">
        <f ca="1"/>
        <v>#N/A</v>
      </c>
      <c r="B94" s="3" t="e">
        <f ca="1"/>
        <v>#N/A</v>
      </c>
      <c r="C94" s="7" t="e">
        <f ca="1"/>
        <v>#N/A</v>
      </c>
      <c r="D94" s="16" t="e">
        <f ca="1"/>
        <v>#N/A</v>
      </c>
      <c r="E94" s="16" t="e">
        <f ca="1"/>
        <v>#N/A</v>
      </c>
      <c r="F94" s="16" t="e">
        <f ca="1"/>
        <v>#N/A</v>
      </c>
      <c r="G94" s="5" t="e">
        <f ca="1"/>
        <v>#N/A</v>
      </c>
      <c r="I94" s="9" t="e">
        <f t="shared" ca="1" si="1"/>
        <v>#N/A</v>
      </c>
    </row>
    <row r="95" spans="1:9" x14ac:dyDescent="0.25">
      <c r="A95" s="15" t="e">
        <f ca="1"/>
        <v>#N/A</v>
      </c>
      <c r="B95" s="3" t="e">
        <f ca="1"/>
        <v>#N/A</v>
      </c>
      <c r="C95" s="7" t="e">
        <f ca="1"/>
        <v>#N/A</v>
      </c>
      <c r="D95" s="16" t="e">
        <f ca="1"/>
        <v>#N/A</v>
      </c>
      <c r="E95" s="16" t="e">
        <f ca="1"/>
        <v>#N/A</v>
      </c>
      <c r="F95" s="16" t="e">
        <f ca="1"/>
        <v>#N/A</v>
      </c>
      <c r="G95" s="5" t="e">
        <f ca="1"/>
        <v>#N/A</v>
      </c>
      <c r="I95" s="9" t="e">
        <f t="shared" ca="1" si="1"/>
        <v>#N/A</v>
      </c>
    </row>
    <row r="96" spans="1:9" x14ac:dyDescent="0.25">
      <c r="A96" s="15" t="e">
        <f ca="1"/>
        <v>#N/A</v>
      </c>
      <c r="B96" s="3" t="e">
        <f ca="1"/>
        <v>#N/A</v>
      </c>
      <c r="C96" s="7" t="e">
        <f ca="1"/>
        <v>#N/A</v>
      </c>
      <c r="D96" s="16" t="e">
        <f ca="1"/>
        <v>#N/A</v>
      </c>
      <c r="E96" s="16" t="e">
        <f ca="1"/>
        <v>#N/A</v>
      </c>
      <c r="F96" s="16" t="e">
        <f ca="1"/>
        <v>#N/A</v>
      </c>
      <c r="G96" s="5" t="e">
        <f ca="1"/>
        <v>#N/A</v>
      </c>
      <c r="I96" s="9" t="e">
        <f t="shared" ca="1" si="1"/>
        <v>#N/A</v>
      </c>
    </row>
    <row r="97" spans="1:9" x14ac:dyDescent="0.25">
      <c r="A97" s="15" t="e">
        <f ca="1"/>
        <v>#N/A</v>
      </c>
      <c r="B97" s="3" t="e">
        <f ca="1"/>
        <v>#N/A</v>
      </c>
      <c r="C97" s="7" t="e">
        <f ca="1"/>
        <v>#N/A</v>
      </c>
      <c r="D97" s="16" t="e">
        <f ca="1"/>
        <v>#N/A</v>
      </c>
      <c r="E97" s="16" t="e">
        <f ca="1"/>
        <v>#N/A</v>
      </c>
      <c r="F97" s="16" t="e">
        <f ca="1"/>
        <v>#N/A</v>
      </c>
      <c r="G97" s="5" t="e">
        <f ca="1"/>
        <v>#N/A</v>
      </c>
      <c r="I97" s="9" t="e">
        <f t="shared" ca="1" si="1"/>
        <v>#N/A</v>
      </c>
    </row>
    <row r="98" spans="1:9" x14ac:dyDescent="0.25">
      <c r="A98" s="15" t="e">
        <f ca="1"/>
        <v>#N/A</v>
      </c>
      <c r="B98" s="3" t="e">
        <f ca="1"/>
        <v>#N/A</v>
      </c>
      <c r="C98" s="7" t="e">
        <f ca="1"/>
        <v>#N/A</v>
      </c>
      <c r="D98" s="16" t="e">
        <f ca="1"/>
        <v>#N/A</v>
      </c>
      <c r="E98" s="16" t="e">
        <f ca="1"/>
        <v>#N/A</v>
      </c>
      <c r="F98" s="16" t="e">
        <f ca="1"/>
        <v>#N/A</v>
      </c>
      <c r="G98" s="5" t="e">
        <f ca="1"/>
        <v>#N/A</v>
      </c>
      <c r="I98" s="9" t="e">
        <f t="shared" ca="1" si="1"/>
        <v>#N/A</v>
      </c>
    </row>
    <row r="99" spans="1:9" x14ac:dyDescent="0.25">
      <c r="A99" s="15" t="e">
        <f ca="1"/>
        <v>#N/A</v>
      </c>
      <c r="B99" s="3" t="e">
        <f ca="1"/>
        <v>#N/A</v>
      </c>
      <c r="C99" s="7" t="e">
        <f ca="1"/>
        <v>#N/A</v>
      </c>
      <c r="D99" s="16" t="e">
        <f ca="1"/>
        <v>#N/A</v>
      </c>
      <c r="E99" s="16" t="e">
        <f ca="1"/>
        <v>#N/A</v>
      </c>
      <c r="F99" s="16" t="e">
        <f ca="1"/>
        <v>#N/A</v>
      </c>
      <c r="G99" s="5" t="e">
        <f ca="1"/>
        <v>#N/A</v>
      </c>
      <c r="I99" s="9" t="e">
        <f t="shared" ca="1" si="1"/>
        <v>#N/A</v>
      </c>
    </row>
    <row r="100" spans="1:9" x14ac:dyDescent="0.25">
      <c r="A100" s="15" t="e">
        <f ca="1"/>
        <v>#N/A</v>
      </c>
      <c r="B100" s="3" t="e">
        <f ca="1"/>
        <v>#N/A</v>
      </c>
      <c r="C100" s="7" t="e">
        <f ca="1"/>
        <v>#N/A</v>
      </c>
      <c r="D100" s="16" t="e">
        <f ca="1"/>
        <v>#N/A</v>
      </c>
      <c r="E100" s="16" t="e">
        <f ca="1"/>
        <v>#N/A</v>
      </c>
      <c r="F100" s="16" t="e">
        <f ca="1"/>
        <v>#N/A</v>
      </c>
      <c r="G100" s="5" t="e">
        <f ca="1"/>
        <v>#N/A</v>
      </c>
      <c r="I100" s="9" t="e">
        <f t="shared" ca="1" si="1"/>
        <v>#N/A</v>
      </c>
    </row>
    <row r="101" spans="1:9" x14ac:dyDescent="0.25">
      <c r="A101" s="15" t="e">
        <f ca="1"/>
        <v>#N/A</v>
      </c>
      <c r="B101" s="3" t="e">
        <f ca="1"/>
        <v>#N/A</v>
      </c>
      <c r="C101" s="7" t="e">
        <f ca="1"/>
        <v>#N/A</v>
      </c>
      <c r="D101" s="16" t="e">
        <f ca="1"/>
        <v>#N/A</v>
      </c>
      <c r="E101" s="16" t="e">
        <f ca="1"/>
        <v>#N/A</v>
      </c>
      <c r="F101" s="16" t="e">
        <f ca="1"/>
        <v>#N/A</v>
      </c>
      <c r="G101" s="5" t="e">
        <f ca="1"/>
        <v>#N/A</v>
      </c>
      <c r="I101" s="9" t="e">
        <f t="shared" ca="1" si="1"/>
        <v>#N/A</v>
      </c>
    </row>
    <row r="102" spans="1:9" x14ac:dyDescent="0.25">
      <c r="A102" s="15" t="e">
        <f ca="1"/>
        <v>#N/A</v>
      </c>
      <c r="B102" s="3" t="e">
        <f ca="1"/>
        <v>#N/A</v>
      </c>
      <c r="C102" s="7" t="e">
        <f ca="1"/>
        <v>#N/A</v>
      </c>
      <c r="D102" s="16" t="e">
        <f ca="1"/>
        <v>#N/A</v>
      </c>
      <c r="E102" s="16" t="e">
        <f ca="1"/>
        <v>#N/A</v>
      </c>
      <c r="F102" s="16" t="e">
        <f ca="1"/>
        <v>#N/A</v>
      </c>
      <c r="G102" s="5" t="e">
        <f ca="1"/>
        <v>#N/A</v>
      </c>
      <c r="I102" s="9" t="e">
        <f t="shared" ca="1" si="1"/>
        <v>#N/A</v>
      </c>
    </row>
    <row r="103" spans="1:9" x14ac:dyDescent="0.25">
      <c r="A103" s="15" t="e">
        <f ca="1"/>
        <v>#N/A</v>
      </c>
      <c r="B103" s="3" t="e">
        <f ca="1"/>
        <v>#N/A</v>
      </c>
      <c r="C103" s="7" t="e">
        <f ca="1"/>
        <v>#N/A</v>
      </c>
      <c r="D103" s="16" t="e">
        <f ca="1"/>
        <v>#N/A</v>
      </c>
      <c r="E103" s="16" t="e">
        <f ca="1"/>
        <v>#N/A</v>
      </c>
      <c r="F103" s="16" t="e">
        <f ca="1"/>
        <v>#N/A</v>
      </c>
      <c r="G103" s="5" t="e">
        <f ca="1"/>
        <v>#N/A</v>
      </c>
      <c r="I103" s="9" t="e">
        <f t="shared" ca="1" si="1"/>
        <v>#N/A</v>
      </c>
    </row>
    <row r="104" spans="1:9" x14ac:dyDescent="0.25">
      <c r="A104" s="15" t="e">
        <f ca="1"/>
        <v>#N/A</v>
      </c>
      <c r="B104" s="3" t="e">
        <f ca="1"/>
        <v>#N/A</v>
      </c>
      <c r="C104" s="7" t="e">
        <f ca="1"/>
        <v>#N/A</v>
      </c>
      <c r="D104" s="16" t="e">
        <f ca="1"/>
        <v>#N/A</v>
      </c>
      <c r="E104" s="16" t="e">
        <f ca="1"/>
        <v>#N/A</v>
      </c>
      <c r="F104" s="16" t="e">
        <f ca="1"/>
        <v>#N/A</v>
      </c>
      <c r="G104" s="5" t="e">
        <f ca="1"/>
        <v>#N/A</v>
      </c>
      <c r="I104" s="9" t="e">
        <f t="shared" ca="1" si="1"/>
        <v>#N/A</v>
      </c>
    </row>
    <row r="105" spans="1:9" x14ac:dyDescent="0.25">
      <c r="A105" s="15" t="e">
        <f ca="1"/>
        <v>#N/A</v>
      </c>
      <c r="B105" s="3" t="e">
        <f ca="1"/>
        <v>#N/A</v>
      </c>
      <c r="C105" s="7" t="e">
        <f ca="1"/>
        <v>#N/A</v>
      </c>
      <c r="D105" s="16" t="e">
        <f ca="1"/>
        <v>#N/A</v>
      </c>
      <c r="E105" s="16" t="e">
        <f ca="1"/>
        <v>#N/A</v>
      </c>
      <c r="F105" s="16" t="e">
        <f ca="1"/>
        <v>#N/A</v>
      </c>
      <c r="G105" s="5" t="e">
        <f ca="1"/>
        <v>#N/A</v>
      </c>
      <c r="I105" s="9" t="e">
        <f t="shared" ca="1" si="1"/>
        <v>#N/A</v>
      </c>
    </row>
    <row r="106" spans="1:9" x14ac:dyDescent="0.25">
      <c r="A106" s="15" t="e">
        <f ca="1"/>
        <v>#N/A</v>
      </c>
      <c r="B106" s="3" t="e">
        <f ca="1"/>
        <v>#N/A</v>
      </c>
      <c r="C106" s="7" t="e">
        <f ca="1"/>
        <v>#N/A</v>
      </c>
      <c r="D106" s="16" t="e">
        <f ca="1"/>
        <v>#N/A</v>
      </c>
      <c r="E106" s="16" t="e">
        <f ca="1"/>
        <v>#N/A</v>
      </c>
      <c r="F106" s="16" t="e">
        <f ca="1"/>
        <v>#N/A</v>
      </c>
      <c r="G106" s="5" t="e">
        <f ca="1"/>
        <v>#N/A</v>
      </c>
      <c r="I106" s="9" t="e">
        <f t="shared" ca="1" si="1"/>
        <v>#N/A</v>
      </c>
    </row>
    <row r="107" spans="1:9" x14ac:dyDescent="0.25">
      <c r="A107" s="15" t="e">
        <f ca="1"/>
        <v>#N/A</v>
      </c>
      <c r="B107" s="3" t="e">
        <f ca="1"/>
        <v>#N/A</v>
      </c>
      <c r="C107" s="7" t="e">
        <f ca="1"/>
        <v>#N/A</v>
      </c>
      <c r="D107" s="16" t="e">
        <f ca="1"/>
        <v>#N/A</v>
      </c>
      <c r="E107" s="16" t="e">
        <f ca="1"/>
        <v>#N/A</v>
      </c>
      <c r="F107" s="16" t="e">
        <f ca="1"/>
        <v>#N/A</v>
      </c>
      <c r="G107" s="5" t="e">
        <f ca="1"/>
        <v>#N/A</v>
      </c>
      <c r="I107" s="9" t="e">
        <f t="shared" ca="1" si="1"/>
        <v>#N/A</v>
      </c>
    </row>
    <row r="108" spans="1:9" x14ac:dyDescent="0.25">
      <c r="A108" s="15" t="e">
        <f ca="1"/>
        <v>#N/A</v>
      </c>
      <c r="B108" s="3" t="e">
        <f ca="1"/>
        <v>#N/A</v>
      </c>
      <c r="C108" s="7" t="e">
        <f ca="1"/>
        <v>#N/A</v>
      </c>
      <c r="D108" s="16" t="e">
        <f ca="1"/>
        <v>#N/A</v>
      </c>
      <c r="E108" s="16" t="e">
        <f ca="1"/>
        <v>#N/A</v>
      </c>
      <c r="F108" s="16" t="e">
        <f ca="1"/>
        <v>#N/A</v>
      </c>
      <c r="G108" s="5" t="e">
        <f ca="1"/>
        <v>#N/A</v>
      </c>
      <c r="I108" s="9" t="e">
        <f t="shared" ca="1" si="1"/>
        <v>#N/A</v>
      </c>
    </row>
    <row r="109" spans="1:9" x14ac:dyDescent="0.25">
      <c r="A109" s="15" t="e">
        <f ca="1"/>
        <v>#N/A</v>
      </c>
      <c r="B109" s="3" t="e">
        <f ca="1"/>
        <v>#N/A</v>
      </c>
      <c r="C109" s="7" t="e">
        <f ca="1"/>
        <v>#N/A</v>
      </c>
      <c r="D109" s="16" t="e">
        <f ca="1"/>
        <v>#N/A</v>
      </c>
      <c r="E109" s="16" t="e">
        <f ca="1"/>
        <v>#N/A</v>
      </c>
      <c r="F109" s="16" t="e">
        <f ca="1"/>
        <v>#N/A</v>
      </c>
      <c r="G109" s="5" t="e">
        <f ca="1"/>
        <v>#N/A</v>
      </c>
      <c r="I109" s="9" t="e">
        <f t="shared" ca="1" si="1"/>
        <v>#N/A</v>
      </c>
    </row>
    <row r="110" spans="1:9" x14ac:dyDescent="0.25">
      <c r="A110" s="15" t="e">
        <f ca="1"/>
        <v>#N/A</v>
      </c>
      <c r="B110" s="3" t="e">
        <f ca="1"/>
        <v>#N/A</v>
      </c>
      <c r="C110" s="7" t="e">
        <f ca="1"/>
        <v>#N/A</v>
      </c>
      <c r="D110" s="16" t="e">
        <f ca="1"/>
        <v>#N/A</v>
      </c>
      <c r="E110" s="16" t="e">
        <f ca="1"/>
        <v>#N/A</v>
      </c>
      <c r="F110" s="16" t="e">
        <f ca="1"/>
        <v>#N/A</v>
      </c>
      <c r="G110" s="5" t="e">
        <f ca="1"/>
        <v>#N/A</v>
      </c>
      <c r="I110" s="9" t="e">
        <f t="shared" ca="1" si="1"/>
        <v>#N/A</v>
      </c>
    </row>
    <row r="111" spans="1:9" x14ac:dyDescent="0.25">
      <c r="A111" s="15" t="e">
        <f ca="1"/>
        <v>#N/A</v>
      </c>
      <c r="B111" s="3" t="e">
        <f ca="1"/>
        <v>#N/A</v>
      </c>
      <c r="C111" s="7" t="e">
        <f ca="1"/>
        <v>#N/A</v>
      </c>
      <c r="D111" s="16" t="e">
        <f ca="1"/>
        <v>#N/A</v>
      </c>
      <c r="E111" s="16" t="e">
        <f ca="1"/>
        <v>#N/A</v>
      </c>
      <c r="F111" s="16" t="e">
        <f ca="1"/>
        <v>#N/A</v>
      </c>
      <c r="G111" s="5" t="e">
        <f ca="1"/>
        <v>#N/A</v>
      </c>
      <c r="I111" s="9" t="e">
        <f t="shared" ca="1" si="1"/>
        <v>#N/A</v>
      </c>
    </row>
    <row r="112" spans="1:9" x14ac:dyDescent="0.25">
      <c r="A112" s="15" t="e">
        <f ca="1"/>
        <v>#N/A</v>
      </c>
      <c r="B112" s="3" t="e">
        <f ca="1"/>
        <v>#N/A</v>
      </c>
      <c r="C112" s="7" t="e">
        <f ca="1"/>
        <v>#N/A</v>
      </c>
      <c r="D112" s="16" t="e">
        <f ca="1"/>
        <v>#N/A</v>
      </c>
      <c r="E112" s="16" t="e">
        <f ca="1"/>
        <v>#N/A</v>
      </c>
      <c r="F112" s="16" t="e">
        <f ca="1"/>
        <v>#N/A</v>
      </c>
      <c r="G112" s="5" t="e">
        <f ca="1"/>
        <v>#N/A</v>
      </c>
      <c r="I112" s="9" t="e">
        <f t="shared" ca="1" si="1"/>
        <v>#N/A</v>
      </c>
    </row>
    <row r="113" spans="1:9" x14ac:dyDescent="0.25">
      <c r="A113" s="15" t="e">
        <f ca="1"/>
        <v>#N/A</v>
      </c>
      <c r="B113" s="3" t="e">
        <f ca="1"/>
        <v>#N/A</v>
      </c>
      <c r="C113" s="7" t="e">
        <f ca="1"/>
        <v>#N/A</v>
      </c>
      <c r="D113" s="16" t="e">
        <f ca="1"/>
        <v>#N/A</v>
      </c>
      <c r="E113" s="16" t="e">
        <f ca="1"/>
        <v>#N/A</v>
      </c>
      <c r="F113" s="16" t="e">
        <f ca="1"/>
        <v>#N/A</v>
      </c>
      <c r="G113" s="5" t="e">
        <f ca="1"/>
        <v>#N/A</v>
      </c>
      <c r="I113" s="9" t="e">
        <f t="shared" ca="1" si="1"/>
        <v>#N/A</v>
      </c>
    </row>
    <row r="114" spans="1:9" x14ac:dyDescent="0.25">
      <c r="A114" s="15" t="e">
        <f ca="1"/>
        <v>#N/A</v>
      </c>
      <c r="B114" s="3" t="e">
        <f ca="1"/>
        <v>#N/A</v>
      </c>
      <c r="C114" s="7" t="e">
        <f ca="1"/>
        <v>#N/A</v>
      </c>
      <c r="D114" s="16" t="e">
        <f ca="1"/>
        <v>#N/A</v>
      </c>
      <c r="E114" s="16" t="e">
        <f ca="1"/>
        <v>#N/A</v>
      </c>
      <c r="F114" s="16" t="e">
        <f ca="1"/>
        <v>#N/A</v>
      </c>
      <c r="G114" s="5" t="e">
        <f ca="1"/>
        <v>#N/A</v>
      </c>
      <c r="I114" s="9" t="e">
        <f t="shared" ca="1" si="1"/>
        <v>#N/A</v>
      </c>
    </row>
    <row r="115" spans="1:9" x14ac:dyDescent="0.25">
      <c r="A115" s="15" t="e">
        <f ca="1"/>
        <v>#N/A</v>
      </c>
      <c r="B115" s="3" t="e">
        <f ca="1"/>
        <v>#N/A</v>
      </c>
      <c r="C115" s="7" t="e">
        <f ca="1"/>
        <v>#N/A</v>
      </c>
      <c r="D115" s="16" t="e">
        <f ca="1"/>
        <v>#N/A</v>
      </c>
      <c r="E115" s="16" t="e">
        <f ca="1"/>
        <v>#N/A</v>
      </c>
      <c r="F115" s="16" t="e">
        <f ca="1"/>
        <v>#N/A</v>
      </c>
      <c r="G115" s="5" t="e">
        <f ca="1"/>
        <v>#N/A</v>
      </c>
      <c r="I115" s="9" t="e">
        <f t="shared" ca="1" si="1"/>
        <v>#N/A</v>
      </c>
    </row>
    <row r="116" spans="1:9" x14ac:dyDescent="0.25">
      <c r="A116" s="15" t="e">
        <f ca="1"/>
        <v>#N/A</v>
      </c>
      <c r="B116" s="3" t="e">
        <f ca="1"/>
        <v>#N/A</v>
      </c>
      <c r="C116" s="7" t="e">
        <f ca="1"/>
        <v>#N/A</v>
      </c>
      <c r="D116" s="16" t="e">
        <f ca="1"/>
        <v>#N/A</v>
      </c>
      <c r="E116" s="16" t="e">
        <f ca="1"/>
        <v>#N/A</v>
      </c>
      <c r="F116" s="16" t="e">
        <f ca="1"/>
        <v>#N/A</v>
      </c>
      <c r="G116" s="5" t="e">
        <f ca="1"/>
        <v>#N/A</v>
      </c>
      <c r="I116" s="9" t="e">
        <f t="shared" ca="1" si="1"/>
        <v>#N/A</v>
      </c>
    </row>
    <row r="117" spans="1:9" x14ac:dyDescent="0.25">
      <c r="A117" s="15" t="e">
        <f ca="1"/>
        <v>#N/A</v>
      </c>
      <c r="B117" s="3" t="e">
        <f ca="1"/>
        <v>#N/A</v>
      </c>
      <c r="C117" s="7" t="e">
        <f ca="1"/>
        <v>#N/A</v>
      </c>
      <c r="D117" s="16" t="e">
        <f ca="1"/>
        <v>#N/A</v>
      </c>
      <c r="E117" s="16" t="e">
        <f ca="1"/>
        <v>#N/A</v>
      </c>
      <c r="F117" s="16" t="e">
        <f ca="1"/>
        <v>#N/A</v>
      </c>
      <c r="G117" s="5" t="e">
        <f ca="1"/>
        <v>#N/A</v>
      </c>
      <c r="I117" s="9" t="e">
        <f t="shared" ca="1" si="1"/>
        <v>#N/A</v>
      </c>
    </row>
    <row r="118" spans="1:9" x14ac:dyDescent="0.25">
      <c r="A118" s="15" t="e">
        <f ca="1"/>
        <v>#N/A</v>
      </c>
      <c r="B118" s="3" t="e">
        <f ca="1"/>
        <v>#N/A</v>
      </c>
      <c r="C118" s="7" t="e">
        <f ca="1"/>
        <v>#N/A</v>
      </c>
      <c r="D118" s="16" t="e">
        <f ca="1"/>
        <v>#N/A</v>
      </c>
      <c r="E118" s="16" t="e">
        <f ca="1"/>
        <v>#N/A</v>
      </c>
      <c r="F118" s="16" t="e">
        <f ca="1"/>
        <v>#N/A</v>
      </c>
      <c r="G118" s="5" t="e">
        <f ca="1"/>
        <v>#N/A</v>
      </c>
      <c r="I118" s="9" t="e">
        <f t="shared" ca="1" si="1"/>
        <v>#N/A</v>
      </c>
    </row>
    <row r="119" spans="1:9" x14ac:dyDescent="0.25">
      <c r="A119" s="15" t="e">
        <f ca="1"/>
        <v>#N/A</v>
      </c>
      <c r="B119" s="3" t="e">
        <f ca="1"/>
        <v>#N/A</v>
      </c>
      <c r="C119" s="7" t="e">
        <f ca="1"/>
        <v>#N/A</v>
      </c>
      <c r="D119" s="16" t="e">
        <f ca="1"/>
        <v>#N/A</v>
      </c>
      <c r="E119" s="16" t="e">
        <f ca="1"/>
        <v>#N/A</v>
      </c>
      <c r="F119" s="16" t="e">
        <f ca="1"/>
        <v>#N/A</v>
      </c>
      <c r="G119" s="5" t="e">
        <f ca="1"/>
        <v>#N/A</v>
      </c>
      <c r="I119" s="9" t="e">
        <f t="shared" ca="1" si="1"/>
        <v>#N/A</v>
      </c>
    </row>
    <row r="120" spans="1:9" x14ac:dyDescent="0.25">
      <c r="A120" s="15" t="e">
        <f ca="1"/>
        <v>#N/A</v>
      </c>
      <c r="B120" s="3" t="e">
        <f ca="1"/>
        <v>#N/A</v>
      </c>
      <c r="C120" s="7" t="e">
        <f ca="1"/>
        <v>#N/A</v>
      </c>
      <c r="D120" s="16" t="e">
        <f ca="1"/>
        <v>#N/A</v>
      </c>
      <c r="E120" s="16" t="e">
        <f ca="1"/>
        <v>#N/A</v>
      </c>
      <c r="F120" s="16" t="e">
        <f ca="1"/>
        <v>#N/A</v>
      </c>
      <c r="G120" s="5" t="e">
        <f ca="1"/>
        <v>#N/A</v>
      </c>
      <c r="I120" s="9" t="e">
        <f t="shared" ca="1" si="1"/>
        <v>#N/A</v>
      </c>
    </row>
    <row r="121" spans="1:9" x14ac:dyDescent="0.25">
      <c r="A121" s="15" t="e">
        <f ca="1"/>
        <v>#N/A</v>
      </c>
      <c r="B121" s="3" t="e">
        <f ca="1"/>
        <v>#N/A</v>
      </c>
      <c r="C121" s="7" t="e">
        <f ca="1"/>
        <v>#N/A</v>
      </c>
      <c r="D121" s="16" t="e">
        <f ca="1"/>
        <v>#N/A</v>
      </c>
      <c r="E121" s="16" t="e">
        <f ca="1"/>
        <v>#N/A</v>
      </c>
      <c r="F121" s="16" t="e">
        <f ca="1"/>
        <v>#N/A</v>
      </c>
      <c r="G121" s="5" t="e">
        <f ca="1"/>
        <v>#N/A</v>
      </c>
      <c r="I121" s="9" t="e">
        <f t="shared" ca="1" si="1"/>
        <v>#N/A</v>
      </c>
    </row>
    <row r="122" spans="1:9" x14ac:dyDescent="0.25">
      <c r="A122" s="15" t="e">
        <f ca="1"/>
        <v>#N/A</v>
      </c>
      <c r="B122" s="3" t="e">
        <f ca="1"/>
        <v>#N/A</v>
      </c>
      <c r="C122" s="7" t="e">
        <f ca="1"/>
        <v>#N/A</v>
      </c>
      <c r="D122" s="16" t="e">
        <f ca="1"/>
        <v>#N/A</v>
      </c>
      <c r="E122" s="16" t="e">
        <f ca="1"/>
        <v>#N/A</v>
      </c>
      <c r="F122" s="16" t="e">
        <f ca="1"/>
        <v>#N/A</v>
      </c>
      <c r="G122" s="5" t="e">
        <f ca="1"/>
        <v>#N/A</v>
      </c>
      <c r="I122" s="9" t="e">
        <f t="shared" ca="1" si="1"/>
        <v>#N/A</v>
      </c>
    </row>
    <row r="123" spans="1:9" x14ac:dyDescent="0.25">
      <c r="A123" s="15" t="e">
        <f ca="1"/>
        <v>#N/A</v>
      </c>
      <c r="B123" s="3" t="e">
        <f ca="1"/>
        <v>#N/A</v>
      </c>
      <c r="C123" s="7" t="e">
        <f ca="1"/>
        <v>#N/A</v>
      </c>
      <c r="D123" s="16" t="e">
        <f ca="1"/>
        <v>#N/A</v>
      </c>
      <c r="E123" s="16" t="e">
        <f ca="1"/>
        <v>#N/A</v>
      </c>
      <c r="F123" s="16" t="e">
        <f ca="1"/>
        <v>#N/A</v>
      </c>
      <c r="G123" s="5" t="e">
        <f ca="1"/>
        <v>#N/A</v>
      </c>
      <c r="I123" s="9" t="e">
        <f t="shared" ca="1" si="1"/>
        <v>#N/A</v>
      </c>
    </row>
    <row r="124" spans="1:9" x14ac:dyDescent="0.25">
      <c r="A124" s="15" t="e">
        <f ca="1"/>
        <v>#N/A</v>
      </c>
      <c r="B124" s="3" t="e">
        <f ca="1"/>
        <v>#N/A</v>
      </c>
      <c r="C124" s="7" t="e">
        <f ca="1"/>
        <v>#N/A</v>
      </c>
      <c r="D124" s="16" t="e">
        <f ca="1"/>
        <v>#N/A</v>
      </c>
      <c r="E124" s="16" t="e">
        <f ca="1"/>
        <v>#N/A</v>
      </c>
      <c r="F124" s="16" t="e">
        <f ca="1"/>
        <v>#N/A</v>
      </c>
      <c r="G124" s="5" t="e">
        <f ca="1"/>
        <v>#N/A</v>
      </c>
      <c r="I124" s="9" t="e">
        <f t="shared" ca="1" si="1"/>
        <v>#N/A</v>
      </c>
    </row>
    <row r="125" spans="1:9" x14ac:dyDescent="0.25">
      <c r="A125" s="15" t="e">
        <f ca="1"/>
        <v>#N/A</v>
      </c>
      <c r="B125" s="3" t="e">
        <f ca="1"/>
        <v>#N/A</v>
      </c>
      <c r="C125" s="7" t="e">
        <f ca="1"/>
        <v>#N/A</v>
      </c>
      <c r="D125" s="16" t="e">
        <f ca="1"/>
        <v>#N/A</v>
      </c>
      <c r="E125" s="16" t="e">
        <f ca="1"/>
        <v>#N/A</v>
      </c>
      <c r="F125" s="16" t="e">
        <f ca="1"/>
        <v>#N/A</v>
      </c>
      <c r="G125" s="5" t="e">
        <f ca="1"/>
        <v>#N/A</v>
      </c>
      <c r="I125" s="9" t="e">
        <f t="shared" ca="1" si="1"/>
        <v>#N/A</v>
      </c>
    </row>
    <row r="126" spans="1:9" x14ac:dyDescent="0.25">
      <c r="A126" s="15" t="e">
        <f ca="1"/>
        <v>#N/A</v>
      </c>
      <c r="B126" s="3" t="e">
        <f ca="1"/>
        <v>#N/A</v>
      </c>
      <c r="C126" s="7" t="e">
        <f ca="1"/>
        <v>#N/A</v>
      </c>
      <c r="D126" s="16" t="e">
        <f ca="1"/>
        <v>#N/A</v>
      </c>
      <c r="E126" s="16" t="e">
        <f ca="1"/>
        <v>#N/A</v>
      </c>
      <c r="F126" s="16" t="e">
        <f ca="1"/>
        <v>#N/A</v>
      </c>
      <c r="G126" s="5" t="e">
        <f ca="1"/>
        <v>#N/A</v>
      </c>
      <c r="I126" s="9" t="e">
        <f t="shared" ca="1" si="1"/>
        <v>#N/A</v>
      </c>
    </row>
    <row r="127" spans="1:9" x14ac:dyDescent="0.25">
      <c r="A127" s="15" t="e">
        <f ca="1"/>
        <v>#N/A</v>
      </c>
      <c r="B127" s="3" t="e">
        <f ca="1"/>
        <v>#N/A</v>
      </c>
      <c r="C127" s="7" t="e">
        <f ca="1"/>
        <v>#N/A</v>
      </c>
      <c r="D127" s="16" t="e">
        <f ca="1"/>
        <v>#N/A</v>
      </c>
      <c r="E127" s="16" t="e">
        <f ca="1"/>
        <v>#N/A</v>
      </c>
      <c r="F127" s="16" t="e">
        <f ca="1"/>
        <v>#N/A</v>
      </c>
      <c r="G127" s="5" t="e">
        <f ca="1"/>
        <v>#N/A</v>
      </c>
      <c r="I127" s="9" t="e">
        <f t="shared" ca="1" si="1"/>
        <v>#N/A</v>
      </c>
    </row>
    <row r="128" spans="1:9" x14ac:dyDescent="0.25">
      <c r="A128" s="15" t="e">
        <f ca="1"/>
        <v>#N/A</v>
      </c>
      <c r="B128" s="3" t="e">
        <f ca="1"/>
        <v>#N/A</v>
      </c>
      <c r="C128" s="7" t="e">
        <f ca="1"/>
        <v>#N/A</v>
      </c>
      <c r="D128" s="16" t="e">
        <f ca="1"/>
        <v>#N/A</v>
      </c>
      <c r="E128" s="16" t="e">
        <f ca="1"/>
        <v>#N/A</v>
      </c>
      <c r="F128" s="16" t="e">
        <f ca="1"/>
        <v>#N/A</v>
      </c>
      <c r="G128" s="5" t="e">
        <f ca="1"/>
        <v>#N/A</v>
      </c>
      <c r="I128" s="9" t="e">
        <f t="shared" ca="1" si="1"/>
        <v>#N/A</v>
      </c>
    </row>
    <row r="129" spans="1:9" x14ac:dyDescent="0.25">
      <c r="A129" s="15" t="e">
        <f ca="1"/>
        <v>#N/A</v>
      </c>
      <c r="B129" s="3" t="e">
        <f ca="1"/>
        <v>#N/A</v>
      </c>
      <c r="C129" s="7" t="e">
        <f ca="1"/>
        <v>#N/A</v>
      </c>
      <c r="D129" s="16" t="e">
        <f ca="1"/>
        <v>#N/A</v>
      </c>
      <c r="E129" s="16" t="e">
        <f ca="1"/>
        <v>#N/A</v>
      </c>
      <c r="F129" s="16" t="e">
        <f ca="1"/>
        <v>#N/A</v>
      </c>
      <c r="G129" s="5" t="e">
        <f ca="1"/>
        <v>#N/A</v>
      </c>
      <c r="I129" s="9" t="e">
        <f t="shared" ca="1" si="1"/>
        <v>#N/A</v>
      </c>
    </row>
    <row r="130" spans="1:9" x14ac:dyDescent="0.25">
      <c r="A130" s="15" t="e">
        <f ca="1"/>
        <v>#N/A</v>
      </c>
      <c r="B130" s="3" t="e">
        <f ca="1"/>
        <v>#N/A</v>
      </c>
      <c r="C130" s="7" t="e">
        <f ca="1"/>
        <v>#N/A</v>
      </c>
      <c r="D130" s="16" t="e">
        <f ca="1"/>
        <v>#N/A</v>
      </c>
      <c r="E130" s="16" t="e">
        <f ca="1"/>
        <v>#N/A</v>
      </c>
      <c r="F130" s="16" t="e">
        <f ca="1"/>
        <v>#N/A</v>
      </c>
      <c r="G130" s="5" t="e">
        <f ca="1"/>
        <v>#N/A</v>
      </c>
      <c r="I130" s="9" t="e">
        <f t="shared" ca="1" si="1"/>
        <v>#N/A</v>
      </c>
    </row>
    <row r="131" spans="1:9" x14ac:dyDescent="0.25">
      <c r="A131" s="15" t="e">
        <f ca="1"/>
        <v>#N/A</v>
      </c>
      <c r="B131" s="3" t="e">
        <f ca="1"/>
        <v>#N/A</v>
      </c>
      <c r="C131" s="7" t="e">
        <f ca="1"/>
        <v>#N/A</v>
      </c>
      <c r="D131" s="16" t="e">
        <f ca="1"/>
        <v>#N/A</v>
      </c>
      <c r="E131" s="16" t="e">
        <f ca="1"/>
        <v>#N/A</v>
      </c>
      <c r="F131" s="16" t="e">
        <f ca="1"/>
        <v>#N/A</v>
      </c>
      <c r="G131" s="5" t="e">
        <f ca="1"/>
        <v>#N/A</v>
      </c>
      <c r="I131" s="9" t="e">
        <f t="shared" ref="I131:I194" ca="1" si="2">F131+G131</f>
        <v>#N/A</v>
      </c>
    </row>
    <row r="132" spans="1:9" x14ac:dyDescent="0.25">
      <c r="A132" s="15" t="e">
        <f ca="1"/>
        <v>#N/A</v>
      </c>
      <c r="B132" s="3" t="e">
        <f ca="1"/>
        <v>#N/A</v>
      </c>
      <c r="C132" s="7" t="e">
        <f ca="1"/>
        <v>#N/A</v>
      </c>
      <c r="D132" s="16" t="e">
        <f ca="1"/>
        <v>#N/A</v>
      </c>
      <c r="E132" s="16" t="e">
        <f ca="1"/>
        <v>#N/A</v>
      </c>
      <c r="F132" s="16" t="e">
        <f ca="1"/>
        <v>#N/A</v>
      </c>
      <c r="G132" s="5" t="e">
        <f ca="1"/>
        <v>#N/A</v>
      </c>
      <c r="I132" s="9" t="e">
        <f t="shared" ca="1" si="2"/>
        <v>#N/A</v>
      </c>
    </row>
    <row r="133" spans="1:9" x14ac:dyDescent="0.25">
      <c r="A133" s="15" t="e">
        <f ca="1"/>
        <v>#N/A</v>
      </c>
      <c r="B133" s="3" t="e">
        <f ca="1"/>
        <v>#N/A</v>
      </c>
      <c r="C133" s="7" t="e">
        <f ca="1"/>
        <v>#N/A</v>
      </c>
      <c r="D133" s="16" t="e">
        <f ca="1"/>
        <v>#N/A</v>
      </c>
      <c r="E133" s="16" t="e">
        <f ca="1"/>
        <v>#N/A</v>
      </c>
      <c r="F133" s="16" t="e">
        <f ca="1"/>
        <v>#N/A</v>
      </c>
      <c r="G133" s="5" t="e">
        <f ca="1"/>
        <v>#N/A</v>
      </c>
      <c r="I133" s="9" t="e">
        <f t="shared" ca="1" si="2"/>
        <v>#N/A</v>
      </c>
    </row>
    <row r="134" spans="1:9" x14ac:dyDescent="0.25">
      <c r="A134" s="15" t="e">
        <f ca="1"/>
        <v>#N/A</v>
      </c>
      <c r="B134" s="3" t="e">
        <f ca="1"/>
        <v>#N/A</v>
      </c>
      <c r="C134" s="7" t="e">
        <f ca="1"/>
        <v>#N/A</v>
      </c>
      <c r="D134" s="16" t="e">
        <f ca="1"/>
        <v>#N/A</v>
      </c>
      <c r="E134" s="16" t="e">
        <f ca="1"/>
        <v>#N/A</v>
      </c>
      <c r="F134" s="16" t="e">
        <f ca="1"/>
        <v>#N/A</v>
      </c>
      <c r="G134" s="5" t="e">
        <f ca="1"/>
        <v>#N/A</v>
      </c>
      <c r="I134" s="9" t="e">
        <f t="shared" ca="1" si="2"/>
        <v>#N/A</v>
      </c>
    </row>
    <row r="135" spans="1:9" x14ac:dyDescent="0.25">
      <c r="A135" s="15" t="e">
        <f ca="1"/>
        <v>#N/A</v>
      </c>
      <c r="B135" s="3" t="e">
        <f ca="1"/>
        <v>#N/A</v>
      </c>
      <c r="C135" s="7" t="e">
        <f ca="1"/>
        <v>#N/A</v>
      </c>
      <c r="D135" s="16" t="e">
        <f ca="1"/>
        <v>#N/A</v>
      </c>
      <c r="E135" s="16" t="e">
        <f ca="1"/>
        <v>#N/A</v>
      </c>
      <c r="F135" s="16" t="e">
        <f ca="1"/>
        <v>#N/A</v>
      </c>
      <c r="G135" s="5" t="e">
        <f ca="1"/>
        <v>#N/A</v>
      </c>
      <c r="I135" s="9" t="e">
        <f t="shared" ca="1" si="2"/>
        <v>#N/A</v>
      </c>
    </row>
    <row r="136" spans="1:9" x14ac:dyDescent="0.25">
      <c r="A136" s="15" t="e">
        <f ca="1"/>
        <v>#N/A</v>
      </c>
      <c r="B136" s="3" t="e">
        <f ca="1"/>
        <v>#N/A</v>
      </c>
      <c r="C136" s="7" t="e">
        <f ca="1"/>
        <v>#N/A</v>
      </c>
      <c r="D136" s="16" t="e">
        <f ca="1"/>
        <v>#N/A</v>
      </c>
      <c r="E136" s="16" t="e">
        <f ca="1"/>
        <v>#N/A</v>
      </c>
      <c r="F136" s="16" t="e">
        <f ca="1"/>
        <v>#N/A</v>
      </c>
      <c r="G136" s="5" t="e">
        <f ca="1"/>
        <v>#N/A</v>
      </c>
      <c r="I136" s="9" t="e">
        <f t="shared" ca="1" si="2"/>
        <v>#N/A</v>
      </c>
    </row>
    <row r="137" spans="1:9" x14ac:dyDescent="0.25">
      <c r="A137" s="15" t="e">
        <f ca="1"/>
        <v>#N/A</v>
      </c>
      <c r="B137" s="3" t="e">
        <f ca="1"/>
        <v>#N/A</v>
      </c>
      <c r="C137" s="7" t="e">
        <f ca="1"/>
        <v>#N/A</v>
      </c>
      <c r="D137" s="16" t="e">
        <f ca="1"/>
        <v>#N/A</v>
      </c>
      <c r="E137" s="16" t="e">
        <f ca="1"/>
        <v>#N/A</v>
      </c>
      <c r="F137" s="16" t="e">
        <f ca="1"/>
        <v>#N/A</v>
      </c>
      <c r="G137" s="5" t="e">
        <f ca="1"/>
        <v>#N/A</v>
      </c>
      <c r="I137" s="9" t="e">
        <f t="shared" ca="1" si="2"/>
        <v>#N/A</v>
      </c>
    </row>
    <row r="138" spans="1:9" x14ac:dyDescent="0.25">
      <c r="A138" s="15" t="e">
        <f ca="1"/>
        <v>#N/A</v>
      </c>
      <c r="B138" s="3" t="e">
        <f ca="1"/>
        <v>#N/A</v>
      </c>
      <c r="C138" s="7" t="e">
        <f ca="1"/>
        <v>#N/A</v>
      </c>
      <c r="D138" s="16" t="e">
        <f ca="1"/>
        <v>#N/A</v>
      </c>
      <c r="E138" s="16" t="e">
        <f ca="1"/>
        <v>#N/A</v>
      </c>
      <c r="F138" s="16" t="e">
        <f ca="1"/>
        <v>#N/A</v>
      </c>
      <c r="G138" s="5" t="e">
        <f ca="1"/>
        <v>#N/A</v>
      </c>
      <c r="I138" s="9" t="e">
        <f t="shared" ca="1" si="2"/>
        <v>#N/A</v>
      </c>
    </row>
    <row r="139" spans="1:9" x14ac:dyDescent="0.25">
      <c r="A139" s="15" t="e">
        <f ca="1"/>
        <v>#N/A</v>
      </c>
      <c r="B139" s="3" t="e">
        <f ca="1"/>
        <v>#N/A</v>
      </c>
      <c r="C139" s="7" t="e">
        <f ca="1"/>
        <v>#N/A</v>
      </c>
      <c r="D139" s="16" t="e">
        <f ca="1"/>
        <v>#N/A</v>
      </c>
      <c r="E139" s="16" t="e">
        <f ca="1"/>
        <v>#N/A</v>
      </c>
      <c r="F139" s="16" t="e">
        <f ca="1"/>
        <v>#N/A</v>
      </c>
      <c r="G139" s="5" t="e">
        <f ca="1"/>
        <v>#N/A</v>
      </c>
      <c r="I139" s="9" t="e">
        <f t="shared" ca="1" si="2"/>
        <v>#N/A</v>
      </c>
    </row>
    <row r="140" spans="1:9" x14ac:dyDescent="0.25">
      <c r="A140" s="15" t="e">
        <f ca="1"/>
        <v>#N/A</v>
      </c>
      <c r="B140" s="3" t="e">
        <f ca="1"/>
        <v>#N/A</v>
      </c>
      <c r="C140" s="7" t="e">
        <f ca="1"/>
        <v>#N/A</v>
      </c>
      <c r="D140" s="16" t="e">
        <f ca="1"/>
        <v>#N/A</v>
      </c>
      <c r="E140" s="16" t="e">
        <f ca="1"/>
        <v>#N/A</v>
      </c>
      <c r="F140" s="16" t="e">
        <f ca="1"/>
        <v>#N/A</v>
      </c>
      <c r="G140" s="5" t="e">
        <f ca="1"/>
        <v>#N/A</v>
      </c>
      <c r="I140" s="9" t="e">
        <f t="shared" ca="1" si="2"/>
        <v>#N/A</v>
      </c>
    </row>
    <row r="141" spans="1:9" x14ac:dyDescent="0.25">
      <c r="A141" s="15" t="e">
        <f ca="1"/>
        <v>#N/A</v>
      </c>
      <c r="B141" s="3" t="e">
        <f ca="1"/>
        <v>#N/A</v>
      </c>
      <c r="C141" s="7" t="e">
        <f ca="1"/>
        <v>#N/A</v>
      </c>
      <c r="D141" s="16" t="e">
        <f ca="1"/>
        <v>#N/A</v>
      </c>
      <c r="E141" s="16" t="e">
        <f ca="1"/>
        <v>#N/A</v>
      </c>
      <c r="F141" s="16" t="e">
        <f ca="1"/>
        <v>#N/A</v>
      </c>
      <c r="G141" s="5" t="e">
        <f ca="1"/>
        <v>#N/A</v>
      </c>
      <c r="I141" s="9" t="e">
        <f t="shared" ca="1" si="2"/>
        <v>#N/A</v>
      </c>
    </row>
    <row r="142" spans="1:9" x14ac:dyDescent="0.25">
      <c r="A142" s="15" t="e">
        <f ca="1"/>
        <v>#N/A</v>
      </c>
      <c r="B142" s="3" t="e">
        <f ca="1"/>
        <v>#N/A</v>
      </c>
      <c r="C142" s="7" t="e">
        <f ca="1"/>
        <v>#N/A</v>
      </c>
      <c r="D142" s="16" t="e">
        <f ca="1"/>
        <v>#N/A</v>
      </c>
      <c r="E142" s="16" t="e">
        <f ca="1"/>
        <v>#N/A</v>
      </c>
      <c r="F142" s="16" t="e">
        <f ca="1"/>
        <v>#N/A</v>
      </c>
      <c r="G142" s="5" t="e">
        <f ca="1"/>
        <v>#N/A</v>
      </c>
      <c r="I142" s="9" t="e">
        <f t="shared" ca="1" si="2"/>
        <v>#N/A</v>
      </c>
    </row>
    <row r="143" spans="1:9" x14ac:dyDescent="0.25">
      <c r="A143" s="15" t="e">
        <f ca="1"/>
        <v>#N/A</v>
      </c>
      <c r="B143" s="3" t="e">
        <f ca="1"/>
        <v>#N/A</v>
      </c>
      <c r="C143" s="7" t="e">
        <f ca="1"/>
        <v>#N/A</v>
      </c>
      <c r="D143" s="16" t="e">
        <f ca="1"/>
        <v>#N/A</v>
      </c>
      <c r="E143" s="16" t="e">
        <f ca="1"/>
        <v>#N/A</v>
      </c>
      <c r="F143" s="16" t="e">
        <f ca="1"/>
        <v>#N/A</v>
      </c>
      <c r="G143" s="5" t="e">
        <f ca="1"/>
        <v>#N/A</v>
      </c>
      <c r="I143" s="9" t="e">
        <f t="shared" ca="1" si="2"/>
        <v>#N/A</v>
      </c>
    </row>
    <row r="144" spans="1:9" x14ac:dyDescent="0.25">
      <c r="A144" s="15" t="e">
        <f ca="1"/>
        <v>#N/A</v>
      </c>
      <c r="B144" s="3" t="e">
        <f ca="1"/>
        <v>#N/A</v>
      </c>
      <c r="C144" s="7" t="e">
        <f ca="1"/>
        <v>#N/A</v>
      </c>
      <c r="D144" s="16" t="e">
        <f ca="1"/>
        <v>#N/A</v>
      </c>
      <c r="E144" s="16" t="e">
        <f ca="1"/>
        <v>#N/A</v>
      </c>
      <c r="F144" s="16" t="e">
        <f ca="1"/>
        <v>#N/A</v>
      </c>
      <c r="G144" s="5" t="e">
        <f ca="1"/>
        <v>#N/A</v>
      </c>
      <c r="I144" s="9" t="e">
        <f t="shared" ca="1" si="2"/>
        <v>#N/A</v>
      </c>
    </row>
    <row r="145" spans="1:9" x14ac:dyDescent="0.25">
      <c r="A145" s="15" t="e">
        <f ca="1"/>
        <v>#N/A</v>
      </c>
      <c r="B145" s="3" t="e">
        <f ca="1"/>
        <v>#N/A</v>
      </c>
      <c r="C145" s="7" t="e">
        <f ca="1"/>
        <v>#N/A</v>
      </c>
      <c r="D145" s="16" t="e">
        <f ca="1"/>
        <v>#N/A</v>
      </c>
      <c r="E145" s="16" t="e">
        <f ca="1"/>
        <v>#N/A</v>
      </c>
      <c r="F145" s="16" t="e">
        <f ca="1"/>
        <v>#N/A</v>
      </c>
      <c r="G145" s="5" t="e">
        <f ca="1"/>
        <v>#N/A</v>
      </c>
      <c r="I145" s="9" t="e">
        <f t="shared" ca="1" si="2"/>
        <v>#N/A</v>
      </c>
    </row>
    <row r="146" spans="1:9" x14ac:dyDescent="0.25">
      <c r="A146" s="15" t="e">
        <f ca="1"/>
        <v>#N/A</v>
      </c>
      <c r="B146" s="3" t="e">
        <f ca="1"/>
        <v>#N/A</v>
      </c>
      <c r="C146" s="7" t="e">
        <f ca="1"/>
        <v>#N/A</v>
      </c>
      <c r="D146" s="16" t="e">
        <f ca="1"/>
        <v>#N/A</v>
      </c>
      <c r="E146" s="16" t="e">
        <f ca="1"/>
        <v>#N/A</v>
      </c>
      <c r="F146" s="16" t="e">
        <f ca="1"/>
        <v>#N/A</v>
      </c>
      <c r="G146" s="5" t="e">
        <f ca="1"/>
        <v>#N/A</v>
      </c>
      <c r="I146" s="9" t="e">
        <f t="shared" ca="1" si="2"/>
        <v>#N/A</v>
      </c>
    </row>
    <row r="147" spans="1:9" x14ac:dyDescent="0.25">
      <c r="A147" s="15" t="e">
        <f ca="1"/>
        <v>#N/A</v>
      </c>
      <c r="B147" s="3" t="e">
        <f ca="1"/>
        <v>#N/A</v>
      </c>
      <c r="C147" s="7" t="e">
        <f ca="1"/>
        <v>#N/A</v>
      </c>
      <c r="D147" s="16" t="e">
        <f ca="1"/>
        <v>#N/A</v>
      </c>
      <c r="E147" s="16" t="e">
        <f ca="1"/>
        <v>#N/A</v>
      </c>
      <c r="F147" s="16" t="e">
        <f ca="1"/>
        <v>#N/A</v>
      </c>
      <c r="G147" s="5" t="e">
        <f ca="1"/>
        <v>#N/A</v>
      </c>
      <c r="I147" s="9" t="e">
        <f t="shared" ca="1" si="2"/>
        <v>#N/A</v>
      </c>
    </row>
    <row r="148" spans="1:9" x14ac:dyDescent="0.25">
      <c r="A148" s="15" t="e">
        <f ca="1"/>
        <v>#N/A</v>
      </c>
      <c r="B148" s="3" t="e">
        <f ca="1"/>
        <v>#N/A</v>
      </c>
      <c r="C148" s="7" t="e">
        <f ca="1"/>
        <v>#N/A</v>
      </c>
      <c r="D148" s="16" t="e">
        <f ca="1"/>
        <v>#N/A</v>
      </c>
      <c r="E148" s="16" t="e">
        <f ca="1"/>
        <v>#N/A</v>
      </c>
      <c r="F148" s="16" t="e">
        <f ca="1"/>
        <v>#N/A</v>
      </c>
      <c r="G148" s="5" t="e">
        <f ca="1"/>
        <v>#N/A</v>
      </c>
      <c r="I148" s="9" t="e">
        <f t="shared" ca="1" si="2"/>
        <v>#N/A</v>
      </c>
    </row>
    <row r="149" spans="1:9" x14ac:dyDescent="0.25">
      <c r="A149" s="15" t="e">
        <f ca="1"/>
        <v>#N/A</v>
      </c>
      <c r="B149" s="3" t="e">
        <f ca="1"/>
        <v>#N/A</v>
      </c>
      <c r="C149" s="7" t="e">
        <f ca="1"/>
        <v>#N/A</v>
      </c>
      <c r="D149" s="16" t="e">
        <f ca="1"/>
        <v>#N/A</v>
      </c>
      <c r="E149" s="16" t="e">
        <f ca="1"/>
        <v>#N/A</v>
      </c>
      <c r="F149" s="16" t="e">
        <f ca="1"/>
        <v>#N/A</v>
      </c>
      <c r="G149" s="5" t="e">
        <f ca="1"/>
        <v>#N/A</v>
      </c>
      <c r="I149" s="9" t="e">
        <f t="shared" ca="1" si="2"/>
        <v>#N/A</v>
      </c>
    </row>
    <row r="150" spans="1:9" x14ac:dyDescent="0.25">
      <c r="A150" s="15" t="e">
        <f ca="1"/>
        <v>#N/A</v>
      </c>
      <c r="B150" s="3" t="e">
        <f ca="1"/>
        <v>#N/A</v>
      </c>
      <c r="C150" s="7" t="e">
        <f ca="1"/>
        <v>#N/A</v>
      </c>
      <c r="D150" s="16" t="e">
        <f ca="1"/>
        <v>#N/A</v>
      </c>
      <c r="E150" s="16" t="e">
        <f ca="1"/>
        <v>#N/A</v>
      </c>
      <c r="F150" s="16" t="e">
        <f ca="1"/>
        <v>#N/A</v>
      </c>
      <c r="G150" s="5" t="e">
        <f ca="1"/>
        <v>#N/A</v>
      </c>
      <c r="I150" s="9" t="e">
        <f t="shared" ca="1" si="2"/>
        <v>#N/A</v>
      </c>
    </row>
    <row r="151" spans="1:9" x14ac:dyDescent="0.25">
      <c r="A151" s="15" t="e">
        <f ca="1"/>
        <v>#N/A</v>
      </c>
      <c r="B151" s="3" t="e">
        <f ca="1"/>
        <v>#N/A</v>
      </c>
      <c r="C151" s="7" t="e">
        <f ca="1"/>
        <v>#N/A</v>
      </c>
      <c r="D151" s="16" t="e">
        <f ca="1"/>
        <v>#N/A</v>
      </c>
      <c r="E151" s="16" t="e">
        <f ca="1"/>
        <v>#N/A</v>
      </c>
      <c r="F151" s="16" t="e">
        <f ca="1"/>
        <v>#N/A</v>
      </c>
      <c r="G151" s="5" t="e">
        <f ca="1"/>
        <v>#N/A</v>
      </c>
      <c r="I151" s="9" t="e">
        <f t="shared" ca="1" si="2"/>
        <v>#N/A</v>
      </c>
    </row>
    <row r="152" spans="1:9" x14ac:dyDescent="0.25">
      <c r="A152" s="15" t="e">
        <f ca="1"/>
        <v>#N/A</v>
      </c>
      <c r="B152" s="3" t="e">
        <f ca="1"/>
        <v>#N/A</v>
      </c>
      <c r="C152" s="7" t="e">
        <f ca="1"/>
        <v>#N/A</v>
      </c>
      <c r="D152" s="16" t="e">
        <f ca="1"/>
        <v>#N/A</v>
      </c>
      <c r="E152" s="16" t="e">
        <f ca="1"/>
        <v>#N/A</v>
      </c>
      <c r="F152" s="16" t="e">
        <f ca="1"/>
        <v>#N/A</v>
      </c>
      <c r="G152" s="5" t="e">
        <f ca="1"/>
        <v>#N/A</v>
      </c>
      <c r="I152" s="9" t="e">
        <f t="shared" ca="1" si="2"/>
        <v>#N/A</v>
      </c>
    </row>
    <row r="153" spans="1:9" x14ac:dyDescent="0.25">
      <c r="A153" s="15" t="e">
        <f ca="1"/>
        <v>#N/A</v>
      </c>
      <c r="B153" s="3" t="e">
        <f ca="1"/>
        <v>#N/A</v>
      </c>
      <c r="C153" s="7" t="e">
        <f ca="1"/>
        <v>#N/A</v>
      </c>
      <c r="D153" s="16" t="e">
        <f ca="1"/>
        <v>#N/A</v>
      </c>
      <c r="E153" s="16" t="e">
        <f ca="1"/>
        <v>#N/A</v>
      </c>
      <c r="F153" s="16" t="e">
        <f ca="1"/>
        <v>#N/A</v>
      </c>
      <c r="G153" s="5" t="e">
        <f ca="1"/>
        <v>#N/A</v>
      </c>
      <c r="I153" s="9" t="e">
        <f t="shared" ca="1" si="2"/>
        <v>#N/A</v>
      </c>
    </row>
    <row r="154" spans="1:9" x14ac:dyDescent="0.25">
      <c r="A154" s="15" t="e">
        <f ca="1"/>
        <v>#N/A</v>
      </c>
      <c r="B154" s="3" t="e">
        <f ca="1"/>
        <v>#N/A</v>
      </c>
      <c r="C154" s="7" t="e">
        <f ca="1"/>
        <v>#N/A</v>
      </c>
      <c r="D154" s="16" t="e">
        <f ca="1"/>
        <v>#N/A</v>
      </c>
      <c r="E154" s="16" t="e">
        <f ca="1"/>
        <v>#N/A</v>
      </c>
      <c r="F154" s="16" t="e">
        <f ca="1"/>
        <v>#N/A</v>
      </c>
      <c r="G154" s="5" t="e">
        <f ca="1"/>
        <v>#N/A</v>
      </c>
      <c r="I154" s="9" t="e">
        <f t="shared" ca="1" si="2"/>
        <v>#N/A</v>
      </c>
    </row>
    <row r="155" spans="1:9" x14ac:dyDescent="0.25">
      <c r="A155" s="15" t="e">
        <f ca="1"/>
        <v>#N/A</v>
      </c>
      <c r="B155" s="3" t="e">
        <f ca="1"/>
        <v>#N/A</v>
      </c>
      <c r="C155" s="7" t="e">
        <f ca="1"/>
        <v>#N/A</v>
      </c>
      <c r="D155" s="16" t="e">
        <f ca="1"/>
        <v>#N/A</v>
      </c>
      <c r="E155" s="16" t="e">
        <f ca="1"/>
        <v>#N/A</v>
      </c>
      <c r="F155" s="16" t="e">
        <f ca="1"/>
        <v>#N/A</v>
      </c>
      <c r="G155" s="5" t="e">
        <f ca="1"/>
        <v>#N/A</v>
      </c>
      <c r="I155" s="9" t="e">
        <f t="shared" ca="1" si="2"/>
        <v>#N/A</v>
      </c>
    </row>
    <row r="156" spans="1:9" x14ac:dyDescent="0.25">
      <c r="A156" s="15" t="e">
        <f ca="1"/>
        <v>#N/A</v>
      </c>
      <c r="B156" s="3" t="e">
        <f ca="1"/>
        <v>#N/A</v>
      </c>
      <c r="C156" s="7" t="e">
        <f ca="1"/>
        <v>#N/A</v>
      </c>
      <c r="D156" s="16" t="e">
        <f ca="1"/>
        <v>#N/A</v>
      </c>
      <c r="E156" s="16" t="e">
        <f ca="1"/>
        <v>#N/A</v>
      </c>
      <c r="F156" s="16" t="e">
        <f ca="1"/>
        <v>#N/A</v>
      </c>
      <c r="G156" s="5" t="e">
        <f ca="1"/>
        <v>#N/A</v>
      </c>
      <c r="I156" s="9" t="e">
        <f t="shared" ca="1" si="2"/>
        <v>#N/A</v>
      </c>
    </row>
    <row r="157" spans="1:9" x14ac:dyDescent="0.25">
      <c r="A157" s="15" t="e">
        <f ca="1"/>
        <v>#N/A</v>
      </c>
      <c r="B157" s="3" t="e">
        <f ca="1"/>
        <v>#N/A</v>
      </c>
      <c r="C157" s="7" t="e">
        <f ca="1"/>
        <v>#N/A</v>
      </c>
      <c r="D157" s="16" t="e">
        <f ca="1"/>
        <v>#N/A</v>
      </c>
      <c r="E157" s="16" t="e">
        <f ca="1"/>
        <v>#N/A</v>
      </c>
      <c r="F157" s="16" t="e">
        <f ca="1"/>
        <v>#N/A</v>
      </c>
      <c r="G157" s="5" t="e">
        <f ca="1"/>
        <v>#N/A</v>
      </c>
      <c r="I157" s="9" t="e">
        <f t="shared" ca="1" si="2"/>
        <v>#N/A</v>
      </c>
    </row>
    <row r="158" spans="1:9" x14ac:dyDescent="0.25">
      <c r="A158" s="15" t="e">
        <f ca="1"/>
        <v>#N/A</v>
      </c>
      <c r="B158" s="3" t="e">
        <f ca="1"/>
        <v>#N/A</v>
      </c>
      <c r="C158" s="7" t="e">
        <f ca="1"/>
        <v>#N/A</v>
      </c>
      <c r="D158" s="16" t="e">
        <f ca="1"/>
        <v>#N/A</v>
      </c>
      <c r="E158" s="16" t="e">
        <f ca="1"/>
        <v>#N/A</v>
      </c>
      <c r="F158" s="16" t="e">
        <f ca="1"/>
        <v>#N/A</v>
      </c>
      <c r="G158" s="5" t="e">
        <f ca="1"/>
        <v>#N/A</v>
      </c>
      <c r="I158" s="9" t="e">
        <f t="shared" ca="1" si="2"/>
        <v>#N/A</v>
      </c>
    </row>
    <row r="159" spans="1:9" x14ac:dyDescent="0.25">
      <c r="A159" s="15" t="e">
        <f ca="1"/>
        <v>#N/A</v>
      </c>
      <c r="B159" s="3" t="e">
        <f ca="1"/>
        <v>#N/A</v>
      </c>
      <c r="C159" s="7" t="e">
        <f ca="1"/>
        <v>#N/A</v>
      </c>
      <c r="D159" s="16" t="e">
        <f ca="1"/>
        <v>#N/A</v>
      </c>
      <c r="E159" s="16" t="e">
        <f ca="1"/>
        <v>#N/A</v>
      </c>
      <c r="F159" s="16" t="e">
        <f ca="1"/>
        <v>#N/A</v>
      </c>
      <c r="G159" s="5" t="e">
        <f ca="1"/>
        <v>#N/A</v>
      </c>
      <c r="I159" s="9" t="e">
        <f t="shared" ca="1" si="2"/>
        <v>#N/A</v>
      </c>
    </row>
    <row r="160" spans="1:9" x14ac:dyDescent="0.25">
      <c r="A160" s="15" t="e">
        <f ca="1"/>
        <v>#N/A</v>
      </c>
      <c r="B160" s="3" t="e">
        <f ca="1"/>
        <v>#N/A</v>
      </c>
      <c r="C160" s="7" t="e">
        <f ca="1"/>
        <v>#N/A</v>
      </c>
      <c r="D160" s="16" t="e">
        <f ca="1"/>
        <v>#N/A</v>
      </c>
      <c r="E160" s="16" t="e">
        <f ca="1"/>
        <v>#N/A</v>
      </c>
      <c r="F160" s="16" t="e">
        <f ca="1"/>
        <v>#N/A</v>
      </c>
      <c r="G160" s="5" t="e">
        <f ca="1"/>
        <v>#N/A</v>
      </c>
      <c r="I160" s="9" t="e">
        <f t="shared" ca="1" si="2"/>
        <v>#N/A</v>
      </c>
    </row>
    <row r="161" spans="1:9" x14ac:dyDescent="0.25">
      <c r="A161" s="15" t="e">
        <f ca="1"/>
        <v>#N/A</v>
      </c>
      <c r="B161" s="3" t="e">
        <f ca="1"/>
        <v>#N/A</v>
      </c>
      <c r="C161" s="7" t="e">
        <f ca="1"/>
        <v>#N/A</v>
      </c>
      <c r="D161" s="16" t="e">
        <f ca="1"/>
        <v>#N/A</v>
      </c>
      <c r="E161" s="16" t="e">
        <f ca="1"/>
        <v>#N/A</v>
      </c>
      <c r="F161" s="16" t="e">
        <f ca="1"/>
        <v>#N/A</v>
      </c>
      <c r="G161" s="5" t="e">
        <f ca="1"/>
        <v>#N/A</v>
      </c>
      <c r="I161" s="9" t="e">
        <f t="shared" ca="1" si="2"/>
        <v>#N/A</v>
      </c>
    </row>
    <row r="162" spans="1:9" x14ac:dyDescent="0.25">
      <c r="A162" s="15" t="e">
        <f ca="1"/>
        <v>#N/A</v>
      </c>
      <c r="B162" s="3" t="e">
        <f ca="1"/>
        <v>#N/A</v>
      </c>
      <c r="C162" s="7" t="e">
        <f ca="1"/>
        <v>#N/A</v>
      </c>
      <c r="D162" s="16" t="e">
        <f ca="1"/>
        <v>#N/A</v>
      </c>
      <c r="E162" s="16" t="e">
        <f ca="1"/>
        <v>#N/A</v>
      </c>
      <c r="F162" s="16" t="e">
        <f ca="1"/>
        <v>#N/A</v>
      </c>
      <c r="G162" s="5" t="e">
        <f ca="1"/>
        <v>#N/A</v>
      </c>
      <c r="I162" s="9" t="e">
        <f t="shared" ca="1" si="2"/>
        <v>#N/A</v>
      </c>
    </row>
    <row r="163" spans="1:9" x14ac:dyDescent="0.25">
      <c r="A163" s="15" t="e">
        <f ca="1"/>
        <v>#N/A</v>
      </c>
      <c r="B163" s="3" t="e">
        <f ca="1"/>
        <v>#N/A</v>
      </c>
      <c r="C163" s="7" t="e">
        <f ca="1"/>
        <v>#N/A</v>
      </c>
      <c r="D163" s="16" t="e">
        <f ca="1"/>
        <v>#N/A</v>
      </c>
      <c r="E163" s="16" t="e">
        <f ca="1"/>
        <v>#N/A</v>
      </c>
      <c r="F163" s="16" t="e">
        <f ca="1"/>
        <v>#N/A</v>
      </c>
      <c r="G163" s="5" t="e">
        <f ca="1"/>
        <v>#N/A</v>
      </c>
      <c r="I163" s="9" t="e">
        <f t="shared" ca="1" si="2"/>
        <v>#N/A</v>
      </c>
    </row>
    <row r="164" spans="1:9" x14ac:dyDescent="0.25">
      <c r="A164" s="15" t="e">
        <f ca="1"/>
        <v>#N/A</v>
      </c>
      <c r="B164" s="3" t="e">
        <f ca="1"/>
        <v>#N/A</v>
      </c>
      <c r="C164" s="7" t="e">
        <f ca="1"/>
        <v>#N/A</v>
      </c>
      <c r="D164" s="16" t="e">
        <f ca="1"/>
        <v>#N/A</v>
      </c>
      <c r="E164" s="16" t="e">
        <f ca="1"/>
        <v>#N/A</v>
      </c>
      <c r="F164" s="16" t="e">
        <f ca="1"/>
        <v>#N/A</v>
      </c>
      <c r="G164" s="5" t="e">
        <f ca="1"/>
        <v>#N/A</v>
      </c>
      <c r="I164" s="9" t="e">
        <f t="shared" ca="1" si="2"/>
        <v>#N/A</v>
      </c>
    </row>
    <row r="165" spans="1:9" x14ac:dyDescent="0.25">
      <c r="A165" s="15" t="e">
        <f ca="1"/>
        <v>#N/A</v>
      </c>
      <c r="B165" s="3" t="e">
        <f ca="1"/>
        <v>#N/A</v>
      </c>
      <c r="C165" s="7" t="e">
        <f ca="1"/>
        <v>#N/A</v>
      </c>
      <c r="D165" s="16" t="e">
        <f ca="1"/>
        <v>#N/A</v>
      </c>
      <c r="E165" s="16" t="e">
        <f ca="1"/>
        <v>#N/A</v>
      </c>
      <c r="F165" s="16" t="e">
        <f ca="1"/>
        <v>#N/A</v>
      </c>
      <c r="G165" s="5" t="e">
        <f ca="1"/>
        <v>#N/A</v>
      </c>
      <c r="I165" s="9" t="e">
        <f t="shared" ca="1" si="2"/>
        <v>#N/A</v>
      </c>
    </row>
    <row r="166" spans="1:9" x14ac:dyDescent="0.25">
      <c r="A166" s="15" t="e">
        <f ca="1"/>
        <v>#N/A</v>
      </c>
      <c r="B166" s="3" t="e">
        <f ca="1"/>
        <v>#N/A</v>
      </c>
      <c r="C166" s="7" t="e">
        <f ca="1"/>
        <v>#N/A</v>
      </c>
      <c r="D166" s="16" t="e">
        <f ca="1"/>
        <v>#N/A</v>
      </c>
      <c r="E166" s="16" t="e">
        <f ca="1"/>
        <v>#N/A</v>
      </c>
      <c r="F166" s="16" t="e">
        <f ca="1"/>
        <v>#N/A</v>
      </c>
      <c r="G166" s="5" t="e">
        <f ca="1"/>
        <v>#N/A</v>
      </c>
      <c r="I166" s="9" t="e">
        <f t="shared" ca="1" si="2"/>
        <v>#N/A</v>
      </c>
    </row>
    <row r="167" spans="1:9" x14ac:dyDescent="0.25">
      <c r="A167" s="15" t="e">
        <f ca="1"/>
        <v>#N/A</v>
      </c>
      <c r="B167" s="3" t="e">
        <f ca="1"/>
        <v>#N/A</v>
      </c>
      <c r="C167" s="7" t="e">
        <f ca="1"/>
        <v>#N/A</v>
      </c>
      <c r="D167" s="16" t="e">
        <f ca="1"/>
        <v>#N/A</v>
      </c>
      <c r="E167" s="16" t="e">
        <f ca="1"/>
        <v>#N/A</v>
      </c>
      <c r="F167" s="16" t="e">
        <f ca="1"/>
        <v>#N/A</v>
      </c>
      <c r="G167" s="5" t="e">
        <f ca="1"/>
        <v>#N/A</v>
      </c>
      <c r="I167" s="9" t="e">
        <f t="shared" ca="1" si="2"/>
        <v>#N/A</v>
      </c>
    </row>
    <row r="168" spans="1:9" x14ac:dyDescent="0.25">
      <c r="A168" s="15" t="e">
        <f ca="1"/>
        <v>#N/A</v>
      </c>
      <c r="B168" s="3" t="e">
        <f ca="1"/>
        <v>#N/A</v>
      </c>
      <c r="C168" s="7" t="e">
        <f ca="1"/>
        <v>#N/A</v>
      </c>
      <c r="D168" s="16" t="e">
        <f ca="1"/>
        <v>#N/A</v>
      </c>
      <c r="E168" s="16" t="e">
        <f ca="1"/>
        <v>#N/A</v>
      </c>
      <c r="F168" s="16" t="e">
        <f ca="1"/>
        <v>#N/A</v>
      </c>
      <c r="G168" s="5" t="e">
        <f ca="1"/>
        <v>#N/A</v>
      </c>
      <c r="I168" s="9" t="e">
        <f t="shared" ca="1" si="2"/>
        <v>#N/A</v>
      </c>
    </row>
    <row r="169" spans="1:9" x14ac:dyDescent="0.25">
      <c r="A169" s="15" t="e">
        <f ca="1"/>
        <v>#N/A</v>
      </c>
      <c r="B169" s="3" t="e">
        <f ca="1"/>
        <v>#N/A</v>
      </c>
      <c r="C169" s="7" t="e">
        <f ca="1"/>
        <v>#N/A</v>
      </c>
      <c r="D169" s="16" t="e">
        <f ca="1"/>
        <v>#N/A</v>
      </c>
      <c r="E169" s="16" t="e">
        <f ca="1"/>
        <v>#N/A</v>
      </c>
      <c r="F169" s="16" t="e">
        <f ca="1"/>
        <v>#N/A</v>
      </c>
      <c r="G169" s="5" t="e">
        <f ca="1"/>
        <v>#N/A</v>
      </c>
      <c r="I169" s="9" t="e">
        <f t="shared" ca="1" si="2"/>
        <v>#N/A</v>
      </c>
    </row>
    <row r="170" spans="1:9" x14ac:dyDescent="0.25">
      <c r="A170" s="15" t="e">
        <f ca="1"/>
        <v>#N/A</v>
      </c>
      <c r="B170" s="3" t="e">
        <f ca="1"/>
        <v>#N/A</v>
      </c>
      <c r="C170" s="7" t="e">
        <f ca="1"/>
        <v>#N/A</v>
      </c>
      <c r="D170" s="16" t="e">
        <f ca="1"/>
        <v>#N/A</v>
      </c>
      <c r="E170" s="16" t="e">
        <f ca="1"/>
        <v>#N/A</v>
      </c>
      <c r="F170" s="16" t="e">
        <f ca="1"/>
        <v>#N/A</v>
      </c>
      <c r="G170" s="5" t="e">
        <f ca="1"/>
        <v>#N/A</v>
      </c>
      <c r="I170" s="9" t="e">
        <f t="shared" ca="1" si="2"/>
        <v>#N/A</v>
      </c>
    </row>
    <row r="171" spans="1:9" x14ac:dyDescent="0.25">
      <c r="A171" s="15" t="e">
        <f ca="1"/>
        <v>#N/A</v>
      </c>
      <c r="B171" s="3" t="e">
        <f ca="1"/>
        <v>#N/A</v>
      </c>
      <c r="C171" s="7" t="e">
        <f ca="1"/>
        <v>#N/A</v>
      </c>
      <c r="D171" s="16" t="e">
        <f ca="1"/>
        <v>#N/A</v>
      </c>
      <c r="E171" s="16" t="e">
        <f ca="1"/>
        <v>#N/A</v>
      </c>
      <c r="F171" s="16" t="e">
        <f ca="1"/>
        <v>#N/A</v>
      </c>
      <c r="G171" s="5" t="e">
        <f ca="1"/>
        <v>#N/A</v>
      </c>
      <c r="I171" s="9" t="e">
        <f t="shared" ca="1" si="2"/>
        <v>#N/A</v>
      </c>
    </row>
    <row r="172" spans="1:9" x14ac:dyDescent="0.25">
      <c r="A172" s="15" t="e">
        <f ca="1"/>
        <v>#N/A</v>
      </c>
      <c r="B172" s="3" t="e">
        <f ca="1"/>
        <v>#N/A</v>
      </c>
      <c r="C172" s="7" t="e">
        <f ca="1"/>
        <v>#N/A</v>
      </c>
      <c r="D172" s="16" t="e">
        <f ca="1"/>
        <v>#N/A</v>
      </c>
      <c r="E172" s="16" t="e">
        <f ca="1"/>
        <v>#N/A</v>
      </c>
      <c r="F172" s="16" t="e">
        <f ca="1"/>
        <v>#N/A</v>
      </c>
      <c r="G172" s="5" t="e">
        <f ca="1"/>
        <v>#N/A</v>
      </c>
      <c r="I172" s="9" t="e">
        <f t="shared" ca="1" si="2"/>
        <v>#N/A</v>
      </c>
    </row>
    <row r="173" spans="1:9" x14ac:dyDescent="0.25">
      <c r="A173" s="15" t="e">
        <f ca="1"/>
        <v>#N/A</v>
      </c>
      <c r="B173" s="3" t="e">
        <f ca="1"/>
        <v>#N/A</v>
      </c>
      <c r="C173" s="7" t="e">
        <f ca="1"/>
        <v>#N/A</v>
      </c>
      <c r="D173" s="16" t="e">
        <f ca="1"/>
        <v>#N/A</v>
      </c>
      <c r="E173" s="16" t="e">
        <f ca="1"/>
        <v>#N/A</v>
      </c>
      <c r="F173" s="16" t="e">
        <f ca="1"/>
        <v>#N/A</v>
      </c>
      <c r="G173" s="5" t="e">
        <f ca="1"/>
        <v>#N/A</v>
      </c>
      <c r="I173" s="9" t="e">
        <f t="shared" ca="1" si="2"/>
        <v>#N/A</v>
      </c>
    </row>
    <row r="174" spans="1:9" x14ac:dyDescent="0.25">
      <c r="A174" s="15" t="e">
        <f ca="1"/>
        <v>#N/A</v>
      </c>
      <c r="B174" s="3" t="e">
        <f ca="1"/>
        <v>#N/A</v>
      </c>
      <c r="C174" s="7" t="e">
        <f ca="1"/>
        <v>#N/A</v>
      </c>
      <c r="D174" s="16" t="e">
        <f ca="1"/>
        <v>#N/A</v>
      </c>
      <c r="E174" s="16" t="e">
        <f ca="1"/>
        <v>#N/A</v>
      </c>
      <c r="F174" s="16" t="e">
        <f ca="1"/>
        <v>#N/A</v>
      </c>
      <c r="G174" s="5" t="e">
        <f ca="1"/>
        <v>#N/A</v>
      </c>
      <c r="I174" s="9" t="e">
        <f t="shared" ca="1" si="2"/>
        <v>#N/A</v>
      </c>
    </row>
    <row r="175" spans="1:9" x14ac:dyDescent="0.25">
      <c r="A175" s="15" t="e">
        <f ca="1"/>
        <v>#N/A</v>
      </c>
      <c r="B175" s="3" t="e">
        <f ca="1"/>
        <v>#N/A</v>
      </c>
      <c r="C175" s="7" t="e">
        <f ca="1"/>
        <v>#N/A</v>
      </c>
      <c r="D175" s="16" t="e">
        <f ca="1"/>
        <v>#N/A</v>
      </c>
      <c r="E175" s="16" t="e">
        <f ca="1"/>
        <v>#N/A</v>
      </c>
      <c r="F175" s="16" t="e">
        <f ca="1"/>
        <v>#N/A</v>
      </c>
      <c r="G175" s="5" t="e">
        <f ca="1"/>
        <v>#N/A</v>
      </c>
      <c r="I175" s="9" t="e">
        <f t="shared" ca="1" si="2"/>
        <v>#N/A</v>
      </c>
    </row>
    <row r="176" spans="1:9" x14ac:dyDescent="0.25">
      <c r="A176" s="15" t="e">
        <f ca="1"/>
        <v>#N/A</v>
      </c>
      <c r="B176" s="3" t="e">
        <f ca="1"/>
        <v>#N/A</v>
      </c>
      <c r="C176" s="7" t="e">
        <f ca="1"/>
        <v>#N/A</v>
      </c>
      <c r="D176" s="16" t="e">
        <f ca="1"/>
        <v>#N/A</v>
      </c>
      <c r="E176" s="16" t="e">
        <f ca="1"/>
        <v>#N/A</v>
      </c>
      <c r="F176" s="16" t="e">
        <f ca="1"/>
        <v>#N/A</v>
      </c>
      <c r="G176" s="5" t="e">
        <f ca="1"/>
        <v>#N/A</v>
      </c>
      <c r="I176" s="9" t="e">
        <f t="shared" ca="1" si="2"/>
        <v>#N/A</v>
      </c>
    </row>
    <row r="177" spans="1:9" x14ac:dyDescent="0.25">
      <c r="A177" s="15" t="e">
        <f ca="1"/>
        <v>#N/A</v>
      </c>
      <c r="B177" s="3" t="e">
        <f ca="1"/>
        <v>#N/A</v>
      </c>
      <c r="C177" s="7" t="e">
        <f ca="1"/>
        <v>#N/A</v>
      </c>
      <c r="D177" s="16" t="e">
        <f ca="1"/>
        <v>#N/A</v>
      </c>
      <c r="E177" s="16" t="e">
        <f ca="1"/>
        <v>#N/A</v>
      </c>
      <c r="F177" s="16" t="e">
        <f ca="1"/>
        <v>#N/A</v>
      </c>
      <c r="G177" s="5" t="e">
        <f ca="1"/>
        <v>#N/A</v>
      </c>
      <c r="I177" s="9" t="e">
        <f t="shared" ca="1" si="2"/>
        <v>#N/A</v>
      </c>
    </row>
    <row r="178" spans="1:9" x14ac:dyDescent="0.25">
      <c r="A178" s="15" t="e">
        <f ca="1"/>
        <v>#N/A</v>
      </c>
      <c r="B178" s="3" t="e">
        <f ca="1"/>
        <v>#N/A</v>
      </c>
      <c r="C178" s="7" t="e">
        <f ca="1"/>
        <v>#N/A</v>
      </c>
      <c r="D178" s="16" t="e">
        <f ca="1"/>
        <v>#N/A</v>
      </c>
      <c r="E178" s="16" t="e">
        <f ca="1"/>
        <v>#N/A</v>
      </c>
      <c r="F178" s="16" t="e">
        <f ca="1"/>
        <v>#N/A</v>
      </c>
      <c r="G178" s="5" t="e">
        <f ca="1"/>
        <v>#N/A</v>
      </c>
      <c r="I178" s="9" t="e">
        <f t="shared" ca="1" si="2"/>
        <v>#N/A</v>
      </c>
    </row>
    <row r="179" spans="1:9" x14ac:dyDescent="0.25">
      <c r="A179" s="15" t="e">
        <f ca="1"/>
        <v>#N/A</v>
      </c>
      <c r="B179" s="3" t="e">
        <f ca="1"/>
        <v>#N/A</v>
      </c>
      <c r="C179" s="7" t="e">
        <f ca="1"/>
        <v>#N/A</v>
      </c>
      <c r="D179" s="16" t="e">
        <f ca="1"/>
        <v>#N/A</v>
      </c>
      <c r="E179" s="16" t="e">
        <f ca="1"/>
        <v>#N/A</v>
      </c>
      <c r="F179" s="16" t="e">
        <f ca="1"/>
        <v>#N/A</v>
      </c>
      <c r="G179" s="5" t="e">
        <f ca="1"/>
        <v>#N/A</v>
      </c>
      <c r="I179" s="9" t="e">
        <f t="shared" ca="1" si="2"/>
        <v>#N/A</v>
      </c>
    </row>
    <row r="180" spans="1:9" x14ac:dyDescent="0.25">
      <c r="A180" s="15" t="e">
        <f ca="1"/>
        <v>#N/A</v>
      </c>
      <c r="B180" s="3" t="e">
        <f ca="1"/>
        <v>#N/A</v>
      </c>
      <c r="C180" s="7" t="e">
        <f ca="1"/>
        <v>#N/A</v>
      </c>
      <c r="D180" s="16" t="e">
        <f ca="1"/>
        <v>#N/A</v>
      </c>
      <c r="E180" s="16" t="e">
        <f ca="1"/>
        <v>#N/A</v>
      </c>
      <c r="F180" s="16" t="e">
        <f ca="1"/>
        <v>#N/A</v>
      </c>
      <c r="G180" s="5" t="e">
        <f ca="1"/>
        <v>#N/A</v>
      </c>
      <c r="I180" s="9" t="e">
        <f t="shared" ca="1" si="2"/>
        <v>#N/A</v>
      </c>
    </row>
    <row r="181" spans="1:9" x14ac:dyDescent="0.25">
      <c r="A181" s="15" t="e">
        <f ca="1"/>
        <v>#N/A</v>
      </c>
      <c r="B181" s="3" t="e">
        <f ca="1"/>
        <v>#N/A</v>
      </c>
      <c r="C181" s="7" t="e">
        <f ca="1"/>
        <v>#N/A</v>
      </c>
      <c r="D181" s="16" t="e">
        <f ca="1"/>
        <v>#N/A</v>
      </c>
      <c r="E181" s="16" t="e">
        <f ca="1"/>
        <v>#N/A</v>
      </c>
      <c r="F181" s="16" t="e">
        <f ca="1"/>
        <v>#N/A</v>
      </c>
      <c r="G181" s="5" t="e">
        <f ca="1"/>
        <v>#N/A</v>
      </c>
      <c r="I181" s="9" t="e">
        <f t="shared" ca="1" si="2"/>
        <v>#N/A</v>
      </c>
    </row>
    <row r="182" spans="1:9" x14ac:dyDescent="0.25">
      <c r="A182" s="15" t="e">
        <f ca="1"/>
        <v>#N/A</v>
      </c>
      <c r="B182" s="3" t="e">
        <f ca="1"/>
        <v>#N/A</v>
      </c>
      <c r="C182" s="7" t="e">
        <f ca="1"/>
        <v>#N/A</v>
      </c>
      <c r="D182" s="16" t="e">
        <f ca="1"/>
        <v>#N/A</v>
      </c>
      <c r="E182" s="16" t="e">
        <f ca="1"/>
        <v>#N/A</v>
      </c>
      <c r="F182" s="16" t="e">
        <f ca="1"/>
        <v>#N/A</v>
      </c>
      <c r="G182" s="5" t="e">
        <f ca="1"/>
        <v>#N/A</v>
      </c>
      <c r="I182" s="9" t="e">
        <f t="shared" ca="1" si="2"/>
        <v>#N/A</v>
      </c>
    </row>
    <row r="183" spans="1:9" x14ac:dyDescent="0.25">
      <c r="A183" s="15" t="e">
        <f ca="1"/>
        <v>#N/A</v>
      </c>
      <c r="B183" s="3" t="e">
        <f ca="1"/>
        <v>#N/A</v>
      </c>
      <c r="C183" s="7" t="e">
        <f ca="1"/>
        <v>#N/A</v>
      </c>
      <c r="D183" s="16" t="e">
        <f ca="1"/>
        <v>#N/A</v>
      </c>
      <c r="E183" s="16" t="e">
        <f ca="1"/>
        <v>#N/A</v>
      </c>
      <c r="F183" s="16" t="e">
        <f ca="1"/>
        <v>#N/A</v>
      </c>
      <c r="G183" s="5" t="e">
        <f ca="1"/>
        <v>#N/A</v>
      </c>
      <c r="I183" s="9" t="e">
        <f t="shared" ca="1" si="2"/>
        <v>#N/A</v>
      </c>
    </row>
    <row r="184" spans="1:9" x14ac:dyDescent="0.25">
      <c r="A184" s="15" t="e">
        <f ca="1"/>
        <v>#N/A</v>
      </c>
      <c r="B184" s="3" t="e">
        <f ca="1"/>
        <v>#N/A</v>
      </c>
      <c r="C184" s="7" t="e">
        <f ca="1"/>
        <v>#N/A</v>
      </c>
      <c r="D184" s="16" t="e">
        <f ca="1"/>
        <v>#N/A</v>
      </c>
      <c r="E184" s="16" t="e">
        <f ca="1"/>
        <v>#N/A</v>
      </c>
      <c r="F184" s="16" t="e">
        <f ca="1"/>
        <v>#N/A</v>
      </c>
      <c r="G184" s="5" t="e">
        <f ca="1"/>
        <v>#N/A</v>
      </c>
      <c r="I184" s="9" t="e">
        <f t="shared" ca="1" si="2"/>
        <v>#N/A</v>
      </c>
    </row>
    <row r="185" spans="1:9" x14ac:dyDescent="0.25">
      <c r="A185" s="15" t="e">
        <f ca="1"/>
        <v>#N/A</v>
      </c>
      <c r="B185" s="3" t="e">
        <f ca="1"/>
        <v>#N/A</v>
      </c>
      <c r="C185" s="7" t="e">
        <f ca="1"/>
        <v>#N/A</v>
      </c>
      <c r="D185" s="16" t="e">
        <f ca="1"/>
        <v>#N/A</v>
      </c>
      <c r="E185" s="16" t="e">
        <f ca="1"/>
        <v>#N/A</v>
      </c>
      <c r="F185" s="16" t="e">
        <f ca="1"/>
        <v>#N/A</v>
      </c>
      <c r="G185" s="5" t="e">
        <f ca="1"/>
        <v>#N/A</v>
      </c>
      <c r="I185" s="9" t="e">
        <f t="shared" ca="1" si="2"/>
        <v>#N/A</v>
      </c>
    </row>
    <row r="186" spans="1:9" x14ac:dyDescent="0.25">
      <c r="A186" s="15" t="e">
        <f ca="1"/>
        <v>#N/A</v>
      </c>
      <c r="B186" s="3" t="e">
        <f ca="1"/>
        <v>#N/A</v>
      </c>
      <c r="C186" s="7" t="e">
        <f ca="1"/>
        <v>#N/A</v>
      </c>
      <c r="D186" s="16" t="e">
        <f ca="1"/>
        <v>#N/A</v>
      </c>
      <c r="E186" s="16" t="e">
        <f ca="1"/>
        <v>#N/A</v>
      </c>
      <c r="F186" s="16" t="e">
        <f ca="1"/>
        <v>#N/A</v>
      </c>
      <c r="G186" s="5" t="e">
        <f ca="1"/>
        <v>#N/A</v>
      </c>
      <c r="I186" s="9" t="e">
        <f t="shared" ca="1" si="2"/>
        <v>#N/A</v>
      </c>
    </row>
    <row r="187" spans="1:9" x14ac:dyDescent="0.25">
      <c r="A187" s="15" t="e">
        <f ca="1"/>
        <v>#N/A</v>
      </c>
      <c r="B187" s="3" t="e">
        <f ca="1"/>
        <v>#N/A</v>
      </c>
      <c r="C187" s="7" t="e">
        <f ca="1"/>
        <v>#N/A</v>
      </c>
      <c r="D187" s="16" t="e">
        <f ca="1"/>
        <v>#N/A</v>
      </c>
      <c r="E187" s="16" t="e">
        <f ca="1"/>
        <v>#N/A</v>
      </c>
      <c r="F187" s="16" t="e">
        <f ca="1"/>
        <v>#N/A</v>
      </c>
      <c r="G187" s="5" t="e">
        <f ca="1"/>
        <v>#N/A</v>
      </c>
      <c r="I187" s="9" t="e">
        <f t="shared" ca="1" si="2"/>
        <v>#N/A</v>
      </c>
    </row>
    <row r="188" spans="1:9" x14ac:dyDescent="0.25">
      <c r="A188" s="15" t="e">
        <f ca="1"/>
        <v>#N/A</v>
      </c>
      <c r="B188" s="3" t="e">
        <f ca="1"/>
        <v>#N/A</v>
      </c>
      <c r="C188" s="7" t="e">
        <f ca="1"/>
        <v>#N/A</v>
      </c>
      <c r="D188" s="16" t="e">
        <f ca="1"/>
        <v>#N/A</v>
      </c>
      <c r="E188" s="16" t="e">
        <f ca="1"/>
        <v>#N/A</v>
      </c>
      <c r="F188" s="16" t="e">
        <f ca="1"/>
        <v>#N/A</v>
      </c>
      <c r="G188" s="5" t="e">
        <f ca="1"/>
        <v>#N/A</v>
      </c>
      <c r="I188" s="9" t="e">
        <f t="shared" ca="1" si="2"/>
        <v>#N/A</v>
      </c>
    </row>
    <row r="189" spans="1:9" x14ac:dyDescent="0.25">
      <c r="A189" s="15" t="e">
        <f ca="1"/>
        <v>#N/A</v>
      </c>
      <c r="B189" s="3" t="e">
        <f ca="1"/>
        <v>#N/A</v>
      </c>
      <c r="C189" s="7" t="e">
        <f ca="1"/>
        <v>#N/A</v>
      </c>
      <c r="D189" s="16" t="e">
        <f ca="1"/>
        <v>#N/A</v>
      </c>
      <c r="E189" s="16" t="e">
        <f ca="1"/>
        <v>#N/A</v>
      </c>
      <c r="F189" s="16" t="e">
        <f ca="1"/>
        <v>#N/A</v>
      </c>
      <c r="G189" s="5" t="e">
        <f ca="1"/>
        <v>#N/A</v>
      </c>
      <c r="I189" s="9" t="e">
        <f t="shared" ca="1" si="2"/>
        <v>#N/A</v>
      </c>
    </row>
    <row r="190" spans="1:9" x14ac:dyDescent="0.25">
      <c r="A190" s="15" t="e">
        <f ca="1"/>
        <v>#N/A</v>
      </c>
      <c r="B190" s="3" t="e">
        <f ca="1"/>
        <v>#N/A</v>
      </c>
      <c r="C190" s="7" t="e">
        <f ca="1"/>
        <v>#N/A</v>
      </c>
      <c r="D190" s="16" t="e">
        <f ca="1"/>
        <v>#N/A</v>
      </c>
      <c r="E190" s="16" t="e">
        <f ca="1"/>
        <v>#N/A</v>
      </c>
      <c r="F190" s="16" t="e">
        <f ca="1"/>
        <v>#N/A</v>
      </c>
      <c r="G190" s="5" t="e">
        <f ca="1"/>
        <v>#N/A</v>
      </c>
      <c r="I190" s="9" t="e">
        <f t="shared" ca="1" si="2"/>
        <v>#N/A</v>
      </c>
    </row>
    <row r="191" spans="1:9" x14ac:dyDescent="0.25">
      <c r="A191" s="15" t="e">
        <f ca="1"/>
        <v>#N/A</v>
      </c>
      <c r="B191" s="3" t="e">
        <f ca="1"/>
        <v>#N/A</v>
      </c>
      <c r="C191" s="7" t="e">
        <f ca="1"/>
        <v>#N/A</v>
      </c>
      <c r="D191" s="16" t="e">
        <f ca="1"/>
        <v>#N/A</v>
      </c>
      <c r="E191" s="16" t="e">
        <f ca="1"/>
        <v>#N/A</v>
      </c>
      <c r="F191" s="16" t="e">
        <f ca="1"/>
        <v>#N/A</v>
      </c>
      <c r="G191" s="5" t="e">
        <f ca="1"/>
        <v>#N/A</v>
      </c>
      <c r="I191" s="9" t="e">
        <f t="shared" ca="1" si="2"/>
        <v>#N/A</v>
      </c>
    </row>
    <row r="192" spans="1:9" x14ac:dyDescent="0.25">
      <c r="A192" s="15" t="e">
        <f ca="1"/>
        <v>#N/A</v>
      </c>
      <c r="B192" s="3" t="e">
        <f ca="1"/>
        <v>#N/A</v>
      </c>
      <c r="C192" s="7" t="e">
        <f ca="1"/>
        <v>#N/A</v>
      </c>
      <c r="D192" s="16" t="e">
        <f ca="1"/>
        <v>#N/A</v>
      </c>
      <c r="E192" s="16" t="e">
        <f ca="1"/>
        <v>#N/A</v>
      </c>
      <c r="F192" s="16" t="e">
        <f ca="1"/>
        <v>#N/A</v>
      </c>
      <c r="G192" s="5" t="e">
        <f ca="1"/>
        <v>#N/A</v>
      </c>
      <c r="I192" s="9" t="e">
        <f t="shared" ca="1" si="2"/>
        <v>#N/A</v>
      </c>
    </row>
    <row r="193" spans="1:9" x14ac:dyDescent="0.25">
      <c r="A193" s="15" t="e">
        <f ca="1"/>
        <v>#N/A</v>
      </c>
      <c r="B193" s="3" t="e">
        <f ca="1"/>
        <v>#N/A</v>
      </c>
      <c r="C193" s="7" t="e">
        <f ca="1"/>
        <v>#N/A</v>
      </c>
      <c r="D193" s="16" t="e">
        <f ca="1"/>
        <v>#N/A</v>
      </c>
      <c r="E193" s="16" t="e">
        <f ca="1"/>
        <v>#N/A</v>
      </c>
      <c r="F193" s="16" t="e">
        <f ca="1"/>
        <v>#N/A</v>
      </c>
      <c r="G193" s="5" t="e">
        <f ca="1"/>
        <v>#N/A</v>
      </c>
      <c r="I193" s="9" t="e">
        <f t="shared" ca="1" si="2"/>
        <v>#N/A</v>
      </c>
    </row>
    <row r="194" spans="1:9" x14ac:dyDescent="0.25">
      <c r="A194" s="15" t="e">
        <f ca="1"/>
        <v>#N/A</v>
      </c>
      <c r="B194" s="3" t="e">
        <f ca="1"/>
        <v>#N/A</v>
      </c>
      <c r="C194" s="7" t="e">
        <f ca="1"/>
        <v>#N/A</v>
      </c>
      <c r="D194" s="16" t="e">
        <f ca="1"/>
        <v>#N/A</v>
      </c>
      <c r="E194" s="16" t="e">
        <f ca="1"/>
        <v>#N/A</v>
      </c>
      <c r="F194" s="16" t="e">
        <f ca="1"/>
        <v>#N/A</v>
      </c>
      <c r="G194" s="5" t="e">
        <f ca="1"/>
        <v>#N/A</v>
      </c>
      <c r="I194" s="9" t="e">
        <f t="shared" ca="1" si="2"/>
        <v>#N/A</v>
      </c>
    </row>
    <row r="195" spans="1:9" x14ac:dyDescent="0.25">
      <c r="A195" s="15" t="e">
        <f ca="1"/>
        <v>#N/A</v>
      </c>
      <c r="B195" s="3" t="e">
        <f ca="1"/>
        <v>#N/A</v>
      </c>
      <c r="C195" s="7" t="e">
        <f ca="1"/>
        <v>#N/A</v>
      </c>
      <c r="D195" s="16" t="e">
        <f ca="1"/>
        <v>#N/A</v>
      </c>
      <c r="E195" s="16" t="e">
        <f ca="1"/>
        <v>#N/A</v>
      </c>
      <c r="F195" s="16" t="e">
        <f ca="1"/>
        <v>#N/A</v>
      </c>
      <c r="G195" s="5" t="e">
        <f ca="1"/>
        <v>#N/A</v>
      </c>
      <c r="I195" s="9" t="e">
        <f t="shared" ref="I195:I200" ca="1" si="3">F195+G195</f>
        <v>#N/A</v>
      </c>
    </row>
    <row r="196" spans="1:9" x14ac:dyDescent="0.25">
      <c r="A196" s="15" t="e">
        <f ca="1"/>
        <v>#N/A</v>
      </c>
      <c r="B196" s="3" t="e">
        <f ca="1"/>
        <v>#N/A</v>
      </c>
      <c r="C196" s="7" t="e">
        <f ca="1"/>
        <v>#N/A</v>
      </c>
      <c r="D196" s="16" t="e">
        <f ca="1"/>
        <v>#N/A</v>
      </c>
      <c r="E196" s="16" t="e">
        <f ca="1"/>
        <v>#N/A</v>
      </c>
      <c r="F196" s="16" t="e">
        <f ca="1"/>
        <v>#N/A</v>
      </c>
      <c r="G196" s="5" t="e">
        <f ca="1"/>
        <v>#N/A</v>
      </c>
      <c r="I196" s="9" t="e">
        <f t="shared" ca="1" si="3"/>
        <v>#N/A</v>
      </c>
    </row>
    <row r="197" spans="1:9" x14ac:dyDescent="0.25">
      <c r="A197" s="15" t="e">
        <f ca="1"/>
        <v>#N/A</v>
      </c>
      <c r="B197" s="3" t="e">
        <f ca="1"/>
        <v>#N/A</v>
      </c>
      <c r="C197" s="7" t="e">
        <f ca="1"/>
        <v>#N/A</v>
      </c>
      <c r="D197" s="16" t="e">
        <f ca="1"/>
        <v>#N/A</v>
      </c>
      <c r="E197" s="16" t="e">
        <f ca="1"/>
        <v>#N/A</v>
      </c>
      <c r="F197" s="16" t="e">
        <f ca="1"/>
        <v>#N/A</v>
      </c>
      <c r="G197" s="5" t="e">
        <f ca="1"/>
        <v>#N/A</v>
      </c>
      <c r="I197" s="9" t="e">
        <f t="shared" ca="1" si="3"/>
        <v>#N/A</v>
      </c>
    </row>
    <row r="198" spans="1:9" x14ac:dyDescent="0.25">
      <c r="A198" s="15" t="e">
        <f ca="1"/>
        <v>#N/A</v>
      </c>
      <c r="B198" s="3" t="e">
        <f ca="1"/>
        <v>#N/A</v>
      </c>
      <c r="C198" s="7" t="e">
        <f ca="1"/>
        <v>#N/A</v>
      </c>
      <c r="D198" s="16" t="e">
        <f ca="1"/>
        <v>#N/A</v>
      </c>
      <c r="E198" s="16" t="e">
        <f ca="1"/>
        <v>#N/A</v>
      </c>
      <c r="F198" s="16" t="e">
        <f ca="1"/>
        <v>#N/A</v>
      </c>
      <c r="G198" s="5" t="e">
        <f ca="1"/>
        <v>#N/A</v>
      </c>
      <c r="I198" s="9" t="e">
        <f t="shared" ca="1" si="3"/>
        <v>#N/A</v>
      </c>
    </row>
    <row r="199" spans="1:9" x14ac:dyDescent="0.25">
      <c r="A199" s="15" t="e">
        <f ca="1"/>
        <v>#N/A</v>
      </c>
      <c r="B199" s="3" t="e">
        <f ca="1"/>
        <v>#N/A</v>
      </c>
      <c r="C199" s="7" t="e">
        <f ca="1"/>
        <v>#N/A</v>
      </c>
      <c r="D199" s="16" t="e">
        <f ca="1"/>
        <v>#N/A</v>
      </c>
      <c r="E199" s="16" t="e">
        <f ca="1"/>
        <v>#N/A</v>
      </c>
      <c r="F199" s="16" t="e">
        <f ca="1"/>
        <v>#N/A</v>
      </c>
      <c r="G199" s="5" t="e">
        <f ca="1"/>
        <v>#N/A</v>
      </c>
      <c r="I199" s="9" t="e">
        <f t="shared" ca="1" si="3"/>
        <v>#N/A</v>
      </c>
    </row>
    <row r="200" spans="1:9" ht="15.75" thickBot="1" x14ac:dyDescent="0.3">
      <c r="A200" s="17" t="e">
        <f ca="1"/>
        <v>#N/A</v>
      </c>
      <c r="B200" s="18" t="e">
        <f ca="1"/>
        <v>#N/A</v>
      </c>
      <c r="C200" s="26" t="e">
        <f ca="1"/>
        <v>#N/A</v>
      </c>
      <c r="D200" s="19" t="e">
        <f ca="1"/>
        <v>#N/A</v>
      </c>
      <c r="E200" s="19" t="e">
        <f ca="1"/>
        <v>#N/A</v>
      </c>
      <c r="F200" s="19" t="e">
        <f ca="1"/>
        <v>#N/A</v>
      </c>
      <c r="G200" s="20" t="e">
        <f ca="1"/>
        <v>#N/A</v>
      </c>
      <c r="I200" s="9" t="e">
        <f t="shared" ca="1" si="3"/>
        <v>#N/A</v>
      </c>
    </row>
  </sheetData>
  <phoneticPr fontId="1" type="noConversion"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workbookViewId="0"/>
  </sheetViews>
  <sheetFormatPr defaultRowHeight="15" x14ac:dyDescent="0.25"/>
  <cols>
    <col min="1" max="1" width="22.5703125" bestFit="1" customWidth="1"/>
    <col min="2" max="4" width="9.28515625" bestFit="1" customWidth="1"/>
    <col min="5" max="5" width="11" bestFit="1" customWidth="1"/>
    <col min="6" max="6" width="42.42578125" bestFit="1" customWidth="1"/>
  </cols>
  <sheetData>
    <row r="1" spans="1:6" x14ac:dyDescent="0.25">
      <c r="A1" t="e">
        <f t="array" ref="A1:F7">_xll.Kraken.GetOpenOrders()</f>
        <v>#VALUE!</v>
      </c>
      <c r="B1" t="e">
        <v>#VALUE!</v>
      </c>
      <c r="C1" t="e">
        <v>#VALUE!</v>
      </c>
      <c r="D1" t="e">
        <v>#VALUE!</v>
      </c>
      <c r="E1" t="e">
        <v>#VALUE!</v>
      </c>
      <c r="F1" t="e">
        <v>#VALUE!</v>
      </c>
    </row>
    <row r="2" spans="1:6" x14ac:dyDescent="0.25">
      <c r="A2" t="e">
        <v>#VALUE!</v>
      </c>
      <c r="B2" t="e">
        <v>#VALUE!</v>
      </c>
      <c r="C2" t="e">
        <v>#VALUE!</v>
      </c>
      <c r="D2" t="e">
        <v>#VALUE!</v>
      </c>
      <c r="E2" t="e">
        <v>#VALUE!</v>
      </c>
      <c r="F2" t="e">
        <v>#VALUE!</v>
      </c>
    </row>
    <row r="3" spans="1:6" x14ac:dyDescent="0.25">
      <c r="A3" t="e">
        <v>#VALUE!</v>
      </c>
      <c r="B3" t="e">
        <v>#VALUE!</v>
      </c>
      <c r="C3" t="e">
        <v>#VALUE!</v>
      </c>
      <c r="D3" t="e">
        <v>#VALUE!</v>
      </c>
      <c r="E3" t="e">
        <v>#VALUE!</v>
      </c>
      <c r="F3" t="e">
        <v>#VALUE!</v>
      </c>
    </row>
    <row r="4" spans="1:6" x14ac:dyDescent="0.25">
      <c r="A4" t="e">
        <v>#VALUE!</v>
      </c>
      <c r="B4" t="e">
        <v>#VALUE!</v>
      </c>
      <c r="C4" t="e">
        <v>#VALUE!</v>
      </c>
      <c r="D4" t="e">
        <v>#VALUE!</v>
      </c>
      <c r="E4" t="e">
        <v>#VALUE!</v>
      </c>
      <c r="F4" t="e">
        <v>#VALUE!</v>
      </c>
    </row>
    <row r="5" spans="1:6" x14ac:dyDescent="0.25">
      <c r="A5" t="e">
        <v>#VALUE!</v>
      </c>
      <c r="B5" t="e">
        <v>#VALUE!</v>
      </c>
      <c r="C5" t="e">
        <v>#VALUE!</v>
      </c>
      <c r="D5" t="e">
        <v>#VALUE!</v>
      </c>
      <c r="E5" t="e">
        <v>#VALUE!</v>
      </c>
      <c r="F5" t="e">
        <v>#VALUE!</v>
      </c>
    </row>
    <row r="6" spans="1:6" x14ac:dyDescent="0.25">
      <c r="A6" t="e">
        <v>#VALUE!</v>
      </c>
      <c r="B6" t="e">
        <v>#VALUE!</v>
      </c>
      <c r="C6" t="e">
        <v>#VALUE!</v>
      </c>
      <c r="D6" t="e">
        <v>#VALUE!</v>
      </c>
      <c r="E6" t="e">
        <v>#VALUE!</v>
      </c>
      <c r="F6" t="e">
        <v>#VALUE!</v>
      </c>
    </row>
    <row r="7" spans="1:6" x14ac:dyDescent="0.25">
      <c r="A7" t="e">
        <v>#VALUE!</v>
      </c>
      <c r="B7" t="e">
        <v>#VALUE!</v>
      </c>
      <c r="C7" t="e">
        <v>#VALUE!</v>
      </c>
      <c r="D7" t="e">
        <v>#VALUE!</v>
      </c>
      <c r="E7" t="e">
        <v>#VALUE!</v>
      </c>
      <c r="F7" t="e"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4"/>
  <sheetViews>
    <sheetView topLeftCell="A7" workbookViewId="0">
      <selection activeCell="D34" sqref="D34"/>
    </sheetView>
  </sheetViews>
  <sheetFormatPr defaultRowHeight="15" x14ac:dyDescent="0.25"/>
  <cols>
    <col min="1" max="1" width="10.5703125" style="36" bestFit="1" customWidth="1"/>
    <col min="2" max="4" width="8.85546875" style="1"/>
    <col min="5" max="5" width="13.7109375" bestFit="1" customWidth="1"/>
  </cols>
  <sheetData>
    <row r="1" spans="1:5" x14ac:dyDescent="0.25">
      <c r="B1" s="4">
        <v>1.69</v>
      </c>
      <c r="C1" s="4">
        <v>0.02</v>
      </c>
      <c r="D1" s="4">
        <f t="shared" ref="D1:D4" si="0">B1/C1</f>
        <v>84.5</v>
      </c>
    </row>
    <row r="2" spans="1:5" x14ac:dyDescent="0.25">
      <c r="B2" s="4">
        <v>5.08</v>
      </c>
      <c r="C2" s="4">
        <v>0.06</v>
      </c>
      <c r="D2" s="4">
        <f t="shared" si="0"/>
        <v>84.666666666666671</v>
      </c>
    </row>
    <row r="3" spans="1:5" x14ac:dyDescent="0.25">
      <c r="B3" s="4">
        <v>42.38</v>
      </c>
      <c r="C3" s="4">
        <v>0.5</v>
      </c>
      <c r="D3" s="4">
        <f t="shared" si="0"/>
        <v>84.76</v>
      </c>
    </row>
    <row r="4" spans="1:5" x14ac:dyDescent="0.25">
      <c r="B4" s="4">
        <v>10.199999999999999</v>
      </c>
      <c r="C4" s="4">
        <v>0.12</v>
      </c>
      <c r="D4" s="4">
        <f t="shared" si="0"/>
        <v>85</v>
      </c>
    </row>
    <row r="5" spans="1:5" x14ac:dyDescent="0.25">
      <c r="B5" s="4">
        <v>425.65</v>
      </c>
      <c r="C5" s="4">
        <v>5</v>
      </c>
      <c r="D5" s="4">
        <f>B5/C5</f>
        <v>85.13</v>
      </c>
    </row>
    <row r="6" spans="1:5" x14ac:dyDescent="0.25">
      <c r="B6" s="4">
        <v>25.57</v>
      </c>
      <c r="C6" s="4">
        <v>0.3</v>
      </c>
      <c r="D6" s="4">
        <f t="shared" ref="D6:D34" si="1">B6/C6</f>
        <v>85.233333333333334</v>
      </c>
    </row>
    <row r="7" spans="1:5" x14ac:dyDescent="0.25">
      <c r="B7" s="4">
        <v>210.25</v>
      </c>
      <c r="C7" s="4">
        <v>2.46</v>
      </c>
      <c r="D7" s="4">
        <f t="shared" si="1"/>
        <v>85.467479674796749</v>
      </c>
    </row>
    <row r="8" spans="1:5" x14ac:dyDescent="0.25">
      <c r="B8" s="4">
        <v>262.3</v>
      </c>
      <c r="C8" s="4">
        <v>3</v>
      </c>
      <c r="D8" s="4">
        <f t="shared" si="1"/>
        <v>87.433333333333337</v>
      </c>
    </row>
    <row r="9" spans="1:5" x14ac:dyDescent="0.25">
      <c r="B9" s="4">
        <v>262.39</v>
      </c>
      <c r="C9" s="4">
        <v>3</v>
      </c>
      <c r="D9" s="4">
        <f t="shared" si="1"/>
        <v>87.463333333333324</v>
      </c>
    </row>
    <row r="10" spans="1:5" x14ac:dyDescent="0.25">
      <c r="B10" s="4">
        <v>259.31</v>
      </c>
      <c r="C10" s="4">
        <v>3</v>
      </c>
      <c r="D10" s="4">
        <f t="shared" si="1"/>
        <v>86.436666666666667</v>
      </c>
    </row>
    <row r="11" spans="1:5" x14ac:dyDescent="0.25">
      <c r="B11" s="4">
        <v>207.84</v>
      </c>
      <c r="C11" s="4">
        <v>2.4</v>
      </c>
      <c r="D11" s="4">
        <f t="shared" si="1"/>
        <v>86.600000000000009</v>
      </c>
    </row>
    <row r="12" spans="1:5" x14ac:dyDescent="0.25">
      <c r="B12" s="4">
        <v>207.84</v>
      </c>
      <c r="C12" s="4">
        <v>2.4</v>
      </c>
      <c r="D12" s="4">
        <f t="shared" si="1"/>
        <v>86.600000000000009</v>
      </c>
    </row>
    <row r="13" spans="1:5" x14ac:dyDescent="0.25">
      <c r="B13" s="4">
        <v>259.36</v>
      </c>
      <c r="C13" s="4">
        <v>3</v>
      </c>
      <c r="D13" s="4">
        <f t="shared" si="1"/>
        <v>86.453333333333333</v>
      </c>
    </row>
    <row r="14" spans="1:5" x14ac:dyDescent="0.25">
      <c r="A14" s="103"/>
      <c r="B14" s="39">
        <v>221.92</v>
      </c>
      <c r="C14" s="39">
        <v>2.65</v>
      </c>
      <c r="D14" s="39">
        <f t="shared" si="1"/>
        <v>83.743396226415086</v>
      </c>
      <c r="E14" s="40" t="s">
        <v>24</v>
      </c>
    </row>
    <row r="15" spans="1:5" x14ac:dyDescent="0.25">
      <c r="B15" s="6">
        <v>216.16</v>
      </c>
      <c r="C15" s="6">
        <f>2.31*1.108</f>
        <v>2.5594800000000002</v>
      </c>
      <c r="D15" s="4">
        <f t="shared" si="1"/>
        <v>84.454654851766762</v>
      </c>
    </row>
    <row r="16" spans="1:5" x14ac:dyDescent="0.25">
      <c r="B16" s="6">
        <v>206.5</v>
      </c>
      <c r="C16" s="6">
        <v>2.4</v>
      </c>
      <c r="D16" s="4">
        <f t="shared" si="1"/>
        <v>86.041666666666671</v>
      </c>
    </row>
    <row r="17" spans="1:4" x14ac:dyDescent="0.25">
      <c r="B17" s="6">
        <v>2.6</v>
      </c>
      <c r="C17" s="6">
        <v>0.03</v>
      </c>
      <c r="D17" s="4">
        <f t="shared" si="1"/>
        <v>86.666666666666671</v>
      </c>
    </row>
    <row r="18" spans="1:4" x14ac:dyDescent="0.25">
      <c r="B18" s="6">
        <v>196.51</v>
      </c>
      <c r="C18" s="6">
        <v>2.25</v>
      </c>
      <c r="D18" s="4">
        <f t="shared" si="1"/>
        <v>87.337777777777774</v>
      </c>
    </row>
    <row r="19" spans="1:4" x14ac:dyDescent="0.25">
      <c r="B19" s="6">
        <v>81.06</v>
      </c>
      <c r="C19" s="6">
        <v>0.93</v>
      </c>
      <c r="D19" s="4">
        <f t="shared" si="1"/>
        <v>87.161290322580641</v>
      </c>
    </row>
    <row r="20" spans="1:4" x14ac:dyDescent="0.25">
      <c r="B20" s="6">
        <v>38.93</v>
      </c>
      <c r="C20" s="6">
        <v>0.45</v>
      </c>
      <c r="D20" s="4">
        <f t="shared" si="1"/>
        <v>86.511111111111106</v>
      </c>
    </row>
    <row r="21" spans="1:4" x14ac:dyDescent="0.25">
      <c r="B21" s="6">
        <v>259.75</v>
      </c>
      <c r="C21" s="6">
        <v>3</v>
      </c>
      <c r="D21" s="4">
        <f t="shared" si="1"/>
        <v>86.583333333333329</v>
      </c>
    </row>
    <row r="22" spans="1:4" x14ac:dyDescent="0.25">
      <c r="B22" s="6">
        <v>215.69</v>
      </c>
      <c r="C22" s="6">
        <v>2.4900000000000002</v>
      </c>
      <c r="D22" s="4">
        <f t="shared" si="1"/>
        <v>86.622489959839342</v>
      </c>
    </row>
    <row r="23" spans="1:4" x14ac:dyDescent="0.25">
      <c r="B23" s="6">
        <v>261.31</v>
      </c>
      <c r="C23" s="6">
        <v>3</v>
      </c>
      <c r="D23" s="4">
        <f t="shared" si="1"/>
        <v>87.103333333333339</v>
      </c>
    </row>
    <row r="24" spans="1:4" x14ac:dyDescent="0.25">
      <c r="B24" s="6">
        <v>261.3</v>
      </c>
      <c r="C24" s="6">
        <v>3</v>
      </c>
      <c r="D24" s="4">
        <f t="shared" si="1"/>
        <v>87.100000000000009</v>
      </c>
    </row>
    <row r="25" spans="1:4" x14ac:dyDescent="0.25">
      <c r="B25" s="6">
        <v>260.33999999999997</v>
      </c>
      <c r="C25" s="6">
        <v>3</v>
      </c>
      <c r="D25" s="4">
        <f t="shared" si="1"/>
        <v>86.779999999999987</v>
      </c>
    </row>
    <row r="26" spans="1:4" x14ac:dyDescent="0.25">
      <c r="A26" s="104"/>
      <c r="B26" s="105">
        <v>79.94</v>
      </c>
      <c r="C26" s="105">
        <v>0.93</v>
      </c>
      <c r="D26" s="41">
        <f t="shared" si="1"/>
        <v>85.956989247311824</v>
      </c>
    </row>
    <row r="27" spans="1:4" x14ac:dyDescent="0.25">
      <c r="A27" s="36">
        <v>44054</v>
      </c>
      <c r="B27" s="6">
        <v>167.94</v>
      </c>
      <c r="C27" s="6">
        <v>1.95</v>
      </c>
      <c r="D27" s="4">
        <f t="shared" si="1"/>
        <v>86.123076923076923</v>
      </c>
    </row>
    <row r="28" spans="1:4" x14ac:dyDescent="0.25">
      <c r="B28" s="1">
        <v>51.49</v>
      </c>
      <c r="C28" s="1">
        <v>0.6</v>
      </c>
      <c r="D28" s="1">
        <f t="shared" si="1"/>
        <v>85.816666666666677</v>
      </c>
    </row>
    <row r="29" spans="1:4" x14ac:dyDescent="0.25">
      <c r="A29" s="104"/>
      <c r="B29" s="41">
        <v>257.39999999999998</v>
      </c>
      <c r="C29" s="41">
        <v>3</v>
      </c>
      <c r="D29" s="41">
        <f t="shared" si="1"/>
        <v>85.8</v>
      </c>
    </row>
    <row r="30" spans="1:4" x14ac:dyDescent="0.25">
      <c r="B30" s="1">
        <v>211.5</v>
      </c>
      <c r="C30" s="1">
        <v>2.46</v>
      </c>
      <c r="D30" s="1">
        <f t="shared" si="1"/>
        <v>85.975609756097569</v>
      </c>
    </row>
    <row r="31" spans="1:4" x14ac:dyDescent="0.25">
      <c r="B31" s="1">
        <v>129.07</v>
      </c>
      <c r="C31" s="1">
        <v>1.5</v>
      </c>
      <c r="D31" s="1">
        <f t="shared" si="1"/>
        <v>86.046666666666667</v>
      </c>
    </row>
    <row r="32" spans="1:4" x14ac:dyDescent="0.25">
      <c r="B32" s="1">
        <v>111.17</v>
      </c>
      <c r="C32" s="1">
        <v>1.29</v>
      </c>
      <c r="D32" s="1">
        <f t="shared" si="1"/>
        <v>86.178294573643413</v>
      </c>
    </row>
    <row r="33" spans="1:4" x14ac:dyDescent="0.25">
      <c r="A33" s="104">
        <v>44058</v>
      </c>
      <c r="B33" s="41">
        <v>127.97</v>
      </c>
      <c r="C33" s="41">
        <v>1.5</v>
      </c>
      <c r="D33" s="41">
        <f t="shared" si="1"/>
        <v>85.313333333333333</v>
      </c>
    </row>
    <row r="34" spans="1:4" x14ac:dyDescent="0.25">
      <c r="B34" s="1">
        <v>245.91</v>
      </c>
      <c r="C34" s="1">
        <v>2.82</v>
      </c>
      <c r="D34" s="1">
        <f t="shared" si="1"/>
        <v>87.202127659574472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Portfolio</vt:lpstr>
      <vt:lpstr>Balances</vt:lpstr>
      <vt:lpstr>Prices</vt:lpstr>
      <vt:lpstr>Trades</vt:lpstr>
      <vt:lpstr>Orders</vt:lpstr>
      <vt:lpstr>RUB Vault</vt:lpstr>
      <vt:lpstr>BalancesRange</vt:lpstr>
      <vt:lpstr>BTCPrice</vt:lpstr>
      <vt:lpstr>BTCStart</vt:lpstr>
      <vt:lpstr>BuyTarget</vt:lpstr>
      <vt:lpstr>EURPrice</vt:lpstr>
      <vt:lpstr>GBPPrice</vt:lpstr>
      <vt:lpstr>MarketFee</vt:lpstr>
      <vt:lpstr>PricesRange</vt:lpstr>
      <vt:lpstr>RUBPrice</vt:lpstr>
      <vt:lpstr>SellTarget</vt:lpstr>
      <vt:lpstr>TradeDate</vt:lpstr>
      <vt:lpstr>TradesRange</vt:lpstr>
      <vt:lpstr>USDPrice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Yuri Bobrov</dc:creator>
  <cp:keywords/>
  <dc:description/>
  <cp:lastModifiedBy>Bobrov Yury</cp:lastModifiedBy>
  <cp:revision/>
  <cp:lastPrinted>2020-08-14T09:58:39Z</cp:lastPrinted>
  <dcterms:created xsi:type="dcterms:W3CDTF">2020-03-13T09:25:13Z</dcterms:created>
  <dcterms:modified xsi:type="dcterms:W3CDTF">2020-08-17T14:56:53Z</dcterms:modified>
  <cp:category/>
  <cp:contentStatus/>
</cp:coreProperties>
</file>